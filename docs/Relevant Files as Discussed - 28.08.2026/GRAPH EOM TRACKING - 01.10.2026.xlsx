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.chhabra\Desktop\Analysis\Reports\"/>
    </mc:Choice>
  </mc:AlternateContent>
  <xr:revisionPtr revIDLastSave="0" documentId="13_ncr:1_{376F0661-EF6A-4F87-AA24-523479C77FA6}" xr6:coauthVersionLast="47" xr6:coauthVersionMax="47" xr10:uidLastSave="{00000000-0000-0000-0000-000000000000}"/>
  <bookViews>
    <workbookView xWindow="-120" yWindow="-120" windowWidth="29040" windowHeight="15720" xr2:uid="{E4A380A6-56DF-4B2A-825A-BF30E1261C79}"/>
  </bookViews>
  <sheets>
    <sheet name="Tracking Vs Monthly Budget" sheetId="2" r:id="rId1"/>
    <sheet name="Checks" sheetId="7" r:id="rId2"/>
    <sheet name="Last Yr June 26" sheetId="5" state="hidden" r:id="rId3"/>
    <sheet name="June-26 Data" sheetId="6" state="hidden" r:id="rId4"/>
    <sheet name="Sheet1 (2)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8" i="2"/>
  <c r="G17" i="2"/>
  <c r="G16" i="2"/>
  <c r="F22" i="2"/>
  <c r="F21" i="2"/>
  <c r="F20" i="2"/>
  <c r="F19" i="2"/>
  <c r="F18" i="2"/>
  <c r="F17" i="2"/>
  <c r="F16" i="2"/>
  <c r="C27" i="2"/>
  <c r="AE17" i="2"/>
  <c r="AE15" i="2"/>
  <c r="AE13" i="2"/>
  <c r="AE11" i="2"/>
  <c r="AE9" i="2"/>
  <c r="AE7" i="2"/>
  <c r="AE4" i="2"/>
  <c r="AC17" i="2"/>
  <c r="AC15" i="2"/>
  <c r="AC13" i="2"/>
  <c r="AC11" i="2"/>
  <c r="AC9" i="2"/>
  <c r="AC7" i="2"/>
  <c r="AC4" i="2"/>
  <c r="AC35" i="2"/>
  <c r="AC33" i="2"/>
  <c r="AC31" i="2"/>
  <c r="AC29" i="2"/>
  <c r="AC27" i="2"/>
  <c r="AC25" i="2"/>
  <c r="AC23" i="2"/>
  <c r="AA18" i="2"/>
  <c r="AA36" i="2"/>
  <c r="C12" i="2"/>
  <c r="AA38" i="2" l="1"/>
  <c r="V18" i="2"/>
  <c r="W18" i="2"/>
  <c r="X18" i="2"/>
  <c r="X38" i="2" s="1"/>
  <c r="Y18" i="2"/>
  <c r="Z18" i="2"/>
  <c r="V36" i="2"/>
  <c r="W36" i="2"/>
  <c r="X36" i="2"/>
  <c r="Y36" i="2"/>
  <c r="Z36" i="2"/>
  <c r="D23" i="2"/>
  <c r="C23" i="2"/>
  <c r="Z38" i="2" l="1"/>
  <c r="W38" i="2"/>
  <c r="V38" i="2"/>
  <c r="Y38" i="2"/>
  <c r="P26" i="4"/>
  <c r="N26" i="4"/>
  <c r="M26" i="4"/>
  <c r="L26" i="4"/>
  <c r="K26" i="4"/>
  <c r="J26" i="4"/>
  <c r="I26" i="4"/>
  <c r="H26" i="4"/>
  <c r="G26" i="4"/>
  <c r="F26" i="4"/>
  <c r="E26" i="4"/>
  <c r="D26" i="4"/>
  <c r="P24" i="4"/>
  <c r="P23" i="4"/>
  <c r="P22" i="4"/>
  <c r="S22" i="4" s="1"/>
  <c r="S21" i="4"/>
  <c r="P21" i="4"/>
  <c r="S20" i="4"/>
  <c r="P20" i="4"/>
  <c r="S19" i="4"/>
  <c r="P19" i="4"/>
  <c r="P18" i="4"/>
  <c r="S18" i="4" s="1"/>
  <c r="S17" i="4"/>
  <c r="P17" i="4"/>
  <c r="S16" i="4"/>
  <c r="P16" i="4"/>
  <c r="L12" i="4"/>
  <c r="K12" i="4"/>
  <c r="J12" i="4"/>
  <c r="I12" i="4"/>
  <c r="H12" i="4"/>
  <c r="G12" i="4"/>
  <c r="F12" i="4"/>
  <c r="E12" i="4"/>
  <c r="P12" i="4" s="1"/>
  <c r="D12" i="4"/>
  <c r="P10" i="4"/>
  <c r="P9" i="4"/>
  <c r="S9" i="4" s="1"/>
  <c r="P8" i="4"/>
  <c r="S8" i="4" s="1"/>
  <c r="P7" i="4"/>
  <c r="S7" i="4" s="1"/>
  <c r="P6" i="4"/>
  <c r="S6" i="4" s="1"/>
  <c r="P5" i="4"/>
  <c r="S5" i="4" s="1"/>
  <c r="S4" i="4"/>
  <c r="P4" i="4"/>
  <c r="P3" i="4"/>
  <c r="S3" i="4" s="1"/>
  <c r="G23" i="2" l="1"/>
  <c r="C29" i="2" s="1"/>
  <c r="F23" i="2"/>
  <c r="G5" i="2"/>
  <c r="G6" i="2"/>
  <c r="G7" i="2"/>
  <c r="G8" i="2"/>
  <c r="G9" i="2"/>
  <c r="G10" i="2"/>
  <c r="G11" i="2"/>
  <c r="G4" i="2"/>
  <c r="K36" i="2"/>
  <c r="L36" i="2"/>
  <c r="M36" i="2"/>
  <c r="N36" i="2"/>
  <c r="O36" i="2"/>
  <c r="P36" i="2"/>
  <c r="Q36" i="2"/>
  <c r="R36" i="2"/>
  <c r="S36" i="2"/>
  <c r="T36" i="2"/>
  <c r="U36" i="2"/>
  <c r="J36" i="2"/>
  <c r="J38" i="2" s="1"/>
  <c r="N18" i="2"/>
  <c r="N38" i="2" s="1"/>
  <c r="O18" i="2"/>
  <c r="P18" i="2"/>
  <c r="Q18" i="2"/>
  <c r="R18" i="2"/>
  <c r="R38" i="2" s="1"/>
  <c r="S18" i="2"/>
  <c r="S38" i="2" s="1"/>
  <c r="T18" i="2"/>
  <c r="T38" i="2" s="1"/>
  <c r="U18" i="2"/>
  <c r="U38" i="2" s="1"/>
  <c r="C28" i="2" l="1"/>
  <c r="C31" i="2" s="1"/>
  <c r="Q38" i="2"/>
  <c r="P38" i="2"/>
  <c r="O38" i="2"/>
  <c r="M18" i="2"/>
  <c r="M38" i="2" s="1"/>
  <c r="L18" i="2"/>
  <c r="L38" i="2" s="1"/>
  <c r="K18" i="2"/>
  <c r="K38" i="2" s="1"/>
  <c r="D5" i="2"/>
  <c r="D6" i="2"/>
  <c r="D7" i="2"/>
  <c r="D8" i="2"/>
  <c r="D9" i="2"/>
  <c r="D10" i="2"/>
  <c r="D11" i="2"/>
  <c r="D4" i="2"/>
  <c r="F5" i="2"/>
  <c r="F6" i="2"/>
  <c r="F7" i="2"/>
  <c r="F8" i="2"/>
  <c r="F4" i="2"/>
  <c r="E12" i="2"/>
  <c r="C32" i="2" s="1"/>
  <c r="D12" i="2" l="1"/>
  <c r="F12" i="2"/>
  <c r="G12" i="2" l="1"/>
</calcChain>
</file>

<file path=xl/sharedStrings.xml><?xml version="1.0" encoding="utf-8"?>
<sst xmlns="http://schemas.openxmlformats.org/spreadsheetml/2006/main" count="763" uniqueCount="235">
  <si>
    <t>Per Month ($)</t>
  </si>
  <si>
    <t>Location</t>
  </si>
  <si>
    <t>Melbourne</t>
  </si>
  <si>
    <t>Sydney</t>
  </si>
  <si>
    <t>Adelaide</t>
  </si>
  <si>
    <t>Brisbane</t>
  </si>
  <si>
    <t>Cairns</t>
  </si>
  <si>
    <t>Mackay</t>
  </si>
  <si>
    <t>Perth</t>
  </si>
  <si>
    <t>Albury</t>
  </si>
  <si>
    <t>Total</t>
  </si>
  <si>
    <t>ADL</t>
  </si>
  <si>
    <t>BNE</t>
  </si>
  <si>
    <t>CNS</t>
  </si>
  <si>
    <t>MKY</t>
  </si>
  <si>
    <t>PER</t>
  </si>
  <si>
    <t>SYD</t>
  </si>
  <si>
    <t>DEPLETION</t>
  </si>
  <si>
    <t>NEW BUSINESS</t>
  </si>
  <si>
    <t>TOTAL</t>
  </si>
  <si>
    <t>MEL + ALBURY</t>
  </si>
  <si>
    <t>GRAND TOTAL</t>
  </si>
  <si>
    <t>LINEN HUB</t>
  </si>
  <si>
    <t>Product Group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</si>
  <si>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</si>
  <si>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</si>
  <si>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</si>
  <si>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</si>
  <si>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</si>
  <si>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</si>
  <si>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</si>
  <si>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</si>
  <si>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</si>
  <si>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Linen Hub</t>
  </si>
  <si>
    <t>APRIL</t>
  </si>
  <si>
    <t>MAY</t>
  </si>
  <si>
    <t>July - May</t>
  </si>
  <si>
    <t>NB</t>
  </si>
  <si>
    <t>Melbourne + Albury</t>
  </si>
  <si>
    <t>LH</t>
  </si>
  <si>
    <t>Mel+ALB</t>
  </si>
  <si>
    <t>ACC + HC</t>
  </si>
  <si>
    <t>CURRENT $BUDGET FY27</t>
  </si>
  <si>
    <t>LINEN HUB REMIANING</t>
  </si>
  <si>
    <t>LINEN HUB TILL DATE</t>
  </si>
  <si>
    <t>OVERALL DEP vs BUDGET</t>
  </si>
  <si>
    <t>OVERALL NB vs BUDGET</t>
  </si>
  <si>
    <t>DEP STATUS TILL DATE</t>
  </si>
  <si>
    <t>NB STATUS TILL DATE</t>
  </si>
  <si>
    <t>BALANCE YTG</t>
  </si>
  <si>
    <t>MNTH $BUDGET</t>
  </si>
  <si>
    <t>YRLY Depletion ($)</t>
  </si>
  <si>
    <t>YRLY New B ($)</t>
  </si>
  <si>
    <t>Depletion (YTD)</t>
  </si>
  <si>
    <t>New B (YTD)</t>
  </si>
  <si>
    <t>HSV (YTD)</t>
  </si>
  <si>
    <t>Excl. GST</t>
  </si>
  <si>
    <t>SPEND YTD %</t>
  </si>
  <si>
    <t>Site</t>
  </si>
  <si>
    <t>PO Number</t>
  </si>
  <si>
    <t>Sum of Open Value</t>
  </si>
  <si>
    <t>SPL Cairns</t>
  </si>
  <si>
    <t>CNS518</t>
  </si>
  <si>
    <t>June - Health - H</t>
  </si>
  <si>
    <t>SPL Cairns Total</t>
  </si>
  <si>
    <t>SPL Melbourne</t>
  </si>
  <si>
    <t>HOL175</t>
  </si>
  <si>
    <t>Linen Hub Melbourne</t>
  </si>
  <si>
    <t>MEL2650</t>
  </si>
  <si>
    <t>MEL - SIMBA - HEALTHCARE</t>
  </si>
  <si>
    <t>MEL2682</t>
  </si>
  <si>
    <t>RCH - NEW BUSINESS - (H) - JUN - Standard Textile - MEL</t>
  </si>
  <si>
    <t>MEL2690</t>
  </si>
  <si>
    <t>POOL - DEP - A - JUN - SIMBA - MEL</t>
  </si>
  <si>
    <t>SPL Melbourne Total</t>
  </si>
  <si>
    <t>SPL Perth: Belmont</t>
  </si>
  <si>
    <t>PER1055</t>
  </si>
  <si>
    <t>Ramsay Fantasy Order to Cover Shortages</t>
  </si>
  <si>
    <t>PER1056</t>
  </si>
  <si>
    <t>St John Of God Private Hospital</t>
  </si>
  <si>
    <t>PER995</t>
  </si>
  <si>
    <t>PER - JUNE DEPLETION RAMSAY - HEALTHCARE - H</t>
  </si>
  <si>
    <t>SPL Perth: Belmont Total</t>
  </si>
  <si>
    <t>SPL Perth: Maddington</t>
  </si>
  <si>
    <t>PER1053</t>
  </si>
  <si>
    <t>PER - NEW CUSTOMER - DISCOVERY PARKS ROTTNEST ISLAND</t>
  </si>
  <si>
    <t>PER1058</t>
  </si>
  <si>
    <t>Discovery Parks Woodman Point - A</t>
  </si>
  <si>
    <t>PER1059</t>
  </si>
  <si>
    <t>Discovery Parks Coogee - A</t>
  </si>
  <si>
    <t>PER993</t>
  </si>
  <si>
    <t>PER - NEW CUSTOMER - ISS DEFENCE HMAS STIRLING MEDICAL DEPARTMENT - H</t>
  </si>
  <si>
    <t>SPL Perth: Maddington Total</t>
  </si>
  <si>
    <t>PO Description</t>
  </si>
  <si>
    <t>Month</t>
  </si>
  <si>
    <t>Request Number</t>
  </si>
  <si>
    <t>Concur Request Number</t>
  </si>
  <si>
    <t>Concur PO Number</t>
  </si>
  <si>
    <t>Request Del Date</t>
  </si>
  <si>
    <t>Request Date</t>
  </si>
  <si>
    <t>Supplier</t>
  </si>
  <si>
    <t>Item</t>
  </si>
  <si>
    <t>SKU</t>
  </si>
  <si>
    <t>Ordered Qty</t>
  </si>
  <si>
    <t>Received Qty</t>
  </si>
  <si>
    <t>Remaining Qty</t>
  </si>
  <si>
    <t>Unit Price</t>
  </si>
  <si>
    <t>Ordered Value</t>
  </si>
  <si>
    <t>Received Value</t>
  </si>
  <si>
    <t>Open Value</t>
  </si>
  <si>
    <t>POR-202606-000058</t>
  </si>
  <si>
    <t>24 June 26</t>
  </si>
  <si>
    <t>2026-06-24T00:00:00+00:00</t>
  </si>
  <si>
    <t>Simba Global - Healthcare</t>
  </si>
  <si>
    <t>BLANKET - FIBRESMART</t>
  </si>
  <si>
    <t>RHBLF1</t>
  </si>
  <si>
    <t>CLOTH - MICROFIBRE BLUE</t>
  </si>
  <si>
    <t>HCMB</t>
  </si>
  <si>
    <t>CLOTH - MICROFIBRE RED</t>
  </si>
  <si>
    <t>HCMR</t>
  </si>
  <si>
    <t>GOWN ADULT - BARIATRIC</t>
  </si>
  <si>
    <t>HGBB1</t>
  </si>
  <si>
    <t>GOWN ADULT - KIMONO PETAL SHOULDER</t>
  </si>
  <si>
    <t>HGPS1</t>
  </si>
  <si>
    <t>GOWN CHILD - L (RED TIE)</t>
  </si>
  <si>
    <t>HGK03</t>
  </si>
  <si>
    <t>GOWN CHILD - M (NAVY TIE)</t>
  </si>
  <si>
    <t>HGK02</t>
  </si>
  <si>
    <t>GOWN CHILD - S (NAVY TIE)</t>
  </si>
  <si>
    <t>HGK01</t>
  </si>
  <si>
    <t>LINEN BAG CHARCOAL</t>
  </si>
  <si>
    <t>HLBC1</t>
  </si>
  <si>
    <t>LINEN BAG RED H</t>
  </si>
  <si>
    <t>HLBR3</t>
  </si>
  <si>
    <t>SHEET - DRAW</t>
  </si>
  <si>
    <t>HSHD1</t>
  </si>
  <si>
    <t>SHEET - ENVELOPE</t>
  </si>
  <si>
    <t>HSHEN1</t>
  </si>
  <si>
    <t>SHEET - SINGLE</t>
  </si>
  <si>
    <t>HSH1</t>
  </si>
  <si>
    <t>SHEET - SLIDE</t>
  </si>
  <si>
    <t>HSS20</t>
  </si>
  <si>
    <t>SHEET - TROLLEY</t>
  </si>
  <si>
    <t>HSX1</t>
  </si>
  <si>
    <t xml:space="preserve">THT SCRUB JACKET WARM - M - BLUE
</t>
  </si>
  <si>
    <t>RHJAC02</t>
  </si>
  <si>
    <t>THT SCRUB PANT - 2XL RED</t>
  </si>
  <si>
    <t>HSPR05</t>
  </si>
  <si>
    <t>THT SCRUB PANT - 3XL PINK</t>
  </si>
  <si>
    <t>HSPP06</t>
  </si>
  <si>
    <t>THT SCRUB PANT - L YELLOW</t>
  </si>
  <si>
    <t>HSPY03</t>
  </si>
  <si>
    <t>THT SCRUB PANT - M GREEN</t>
  </si>
  <si>
    <t>HSPG02</t>
  </si>
  <si>
    <t xml:space="preserve">THT SCRUB PANT - S - WHITE
</t>
  </si>
  <si>
    <t>HSPW01</t>
  </si>
  <si>
    <t>THT SCRUB PANT - XL PURPLE</t>
  </si>
  <si>
    <t>HSPP04</t>
  </si>
  <si>
    <t>THT SCRUB TOP - 2XL RED</t>
  </si>
  <si>
    <t>HSTR05</t>
  </si>
  <si>
    <t>THT SCRUB TOP - 3XL PINK</t>
  </si>
  <si>
    <t>HSTP06</t>
  </si>
  <si>
    <t>THT SCRUB TOP - L YELLOW</t>
  </si>
  <si>
    <t>HSTY03</t>
  </si>
  <si>
    <t>THT SCRUB TOP - M GREEN</t>
  </si>
  <si>
    <t>HSTG02</t>
  </si>
  <si>
    <t>THT SCRUB TOP - S WHITE</t>
  </si>
  <si>
    <t>HSTW01</t>
  </si>
  <si>
    <t>THT SCRUB TOP - XL PURPLE</t>
  </si>
  <si>
    <t>HSTP04</t>
  </si>
  <si>
    <t>TOWEL - BATH</t>
  </si>
  <si>
    <t>HBT1</t>
  </si>
  <si>
    <t>GOWN ADULT - KIMONO SPLIT WITH TIES/STUDS</t>
  </si>
  <si>
    <t>HGNS2</t>
  </si>
  <si>
    <t>POR-202606-000053</t>
  </si>
  <si>
    <t>19 June 26</t>
  </si>
  <si>
    <t>2026-06-19T00:00:00+00:00</t>
  </si>
  <si>
    <t>Simba Global - Accommodation</t>
  </si>
  <si>
    <t>GLASS CLOTH</t>
  </si>
  <si>
    <t>GC1</t>
  </si>
  <si>
    <t>POR-202606-000051</t>
  </si>
  <si>
    <t>18 June 26</t>
  </si>
  <si>
    <t>2026-06-18T00:00:00+00:00</t>
  </si>
  <si>
    <t xml:space="preserve">STANDARD TEXTILE </t>
  </si>
  <si>
    <t>GOWN ADULT - LS G4 BLUE</t>
  </si>
  <si>
    <t>HGB4</t>
  </si>
  <si>
    <t>POR-202606-000048</t>
  </si>
  <si>
    <t>16 June 26</t>
  </si>
  <si>
    <t>2026-06-16T00:00:00+00:00</t>
  </si>
  <si>
    <t>LINEN BAG BLUE</t>
  </si>
  <si>
    <t>LB8</t>
  </si>
  <si>
    <t>LINEN BAG RED</t>
  </si>
  <si>
    <t>LB10</t>
  </si>
  <si>
    <t>TOP SHEET QUEEN 1CM STRP</t>
  </si>
  <si>
    <t>TSQ1</t>
  </si>
  <si>
    <t>POR-202606-000046</t>
  </si>
  <si>
    <t>POR-202606-000044</t>
  </si>
  <si>
    <t>15 June 26</t>
  </si>
  <si>
    <t>2026-06-15T00:00:00+00:00</t>
  </si>
  <si>
    <t>GOWN ADULT - SS G2</t>
  </si>
  <si>
    <t>HG2</t>
  </si>
  <si>
    <t>POR-202606-000037</t>
  </si>
  <si>
    <t>11 June 26</t>
  </si>
  <si>
    <t>2026-06-11T00:00:00+00:00</t>
  </si>
  <si>
    <t>King Pillowcases  10mm striped</t>
  </si>
  <si>
    <t>PCK1HR</t>
  </si>
  <si>
    <t>BATH SHEET RFID</t>
  </si>
  <si>
    <t>BS01</t>
  </si>
  <si>
    <t>POR-202606-000029</t>
  </si>
  <si>
    <t>04 June 26</t>
  </si>
  <si>
    <t>2026-06-04T00:00:00+00:00</t>
  </si>
  <si>
    <t>THT SCRUB TOP - 4XL BLACK</t>
  </si>
  <si>
    <t>HSTB07</t>
  </si>
  <si>
    <t>THT SCRUB PANT - 4XL BLACK</t>
  </si>
  <si>
    <t>HSPB07</t>
  </si>
  <si>
    <t>POR-202606-000025</t>
  </si>
  <si>
    <t>03 June 26</t>
  </si>
  <si>
    <t>2026-06-03T00:00:00+00:00</t>
  </si>
  <si>
    <t>POR-202606-000023</t>
  </si>
  <si>
    <t>POR-202606-000016</t>
  </si>
  <si>
    <t>LINEN HUB BATH MAT</t>
  </si>
  <si>
    <t>DHBM1</t>
  </si>
  <si>
    <t>POR-202606-000005</t>
  </si>
  <si>
    <t>01 June 26</t>
  </si>
  <si>
    <t>2026-06-01T00:00:00+00:00</t>
  </si>
  <si>
    <t xml:space="preserve">RENTAL THT SCRUB JACKET WARM - L - BLUE
</t>
  </si>
  <si>
    <t>RRHJAC03</t>
  </si>
  <si>
    <t>HSV (SEP) - Included in DEP</t>
  </si>
  <si>
    <t>RHC (SEP) - Included in DEP</t>
  </si>
  <si>
    <t>RHC (SEP) - Included in NB</t>
  </si>
  <si>
    <t>RHC (YTD)- DEP</t>
  </si>
  <si>
    <t>RHC (YTD)- NB</t>
  </si>
  <si>
    <t>Depletion (SEP 26)</t>
  </si>
  <si>
    <t>New B (SEP 26)</t>
  </si>
  <si>
    <t>LINEN HUB 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</si>
</sst>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&quot;$&quot;#,##0.00"/>
    <numFmt numFmtId="166" formatCode="0.0%"/>
    <numFmt numFmtId="167" formatCode="_-* #,##0_-;\-* #,##0_-;_-* &quot;-&quot;??_-;_-@_-"/>
    <numFmt numFmtId="168" formatCode="_-&quot;$&quot;* #,##0_-;\-&quot;$&quot;* #,##0_-;_-&quot;$&quot;* &quot;-&quot;??_-;_-@_-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name val="Aptos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15171E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7" fillId="3" borderId="1" xfId="0" applyFont="1" applyFill="1" applyBorder="1" applyAlignment="1">
      <alignment horizontal="left"/>
    </xf>
    <xf numFmtId="164" fontId="0" fillId="0" borderId="1" xfId="0" applyNumberFormat="1" applyBorder="1"/>
    <xf numFmtId="165" fontId="0" fillId="0" borderId="0" xfId="0" applyNumberFormat="1"/>
    <xf numFmtId="164" fontId="8" fillId="0" borderId="1" xfId="0" applyNumberFormat="1" applyFont="1" applyBorder="1"/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44" fontId="0" fillId="0" borderId="1" xfId="1" applyFont="1" applyBorder="1" applyAlignment="1">
      <alignment horizontal="left"/>
    </xf>
    <xf numFmtId="0" fontId="9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164" fontId="0" fillId="0" borderId="2" xfId="0" applyNumberFormat="1" applyBorder="1"/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7" fontId="12" fillId="8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/>
    <xf numFmtId="0" fontId="14" fillId="10" borderId="1" xfId="0" applyFont="1" applyFill="1" applyBorder="1"/>
    <xf numFmtId="6" fontId="14" fillId="10" borderId="1" xfId="0" applyNumberFormat="1" applyFont="1" applyFill="1" applyBorder="1"/>
    <xf numFmtId="6" fontId="3" fillId="0" borderId="1" xfId="0" applyNumberFormat="1" applyFont="1" applyBorder="1"/>
    <xf numFmtId="6" fontId="15" fillId="0" borderId="1" xfId="0" applyNumberFormat="1" applyFont="1" applyBorder="1"/>
    <xf numFmtId="0" fontId="14" fillId="10" borderId="1" xfId="0" applyFont="1" applyFill="1" applyBorder="1" applyAlignment="1">
      <alignment wrapText="1"/>
    </xf>
    <xf numFmtId="0" fontId="3" fillId="0" borderId="1" xfId="0" applyFont="1" applyBorder="1"/>
    <xf numFmtId="6" fontId="1" fillId="0" borderId="1" xfId="0" applyNumberFormat="1" applyFont="1" applyBorder="1"/>
    <xf numFmtId="0" fontId="16" fillId="10" borderId="1" xfId="0" applyFont="1" applyFill="1" applyBorder="1"/>
    <xf numFmtId="0" fontId="0" fillId="0" borderId="1" xfId="0" applyBorder="1"/>
    <xf numFmtId="0" fontId="14" fillId="11" borderId="1" xfId="0" applyFont="1" applyFill="1" applyBorder="1"/>
    <xf numFmtId="6" fontId="0" fillId="0" borderId="0" xfId="0" applyNumberFormat="1"/>
    <xf numFmtId="6" fontId="0" fillId="0" borderId="1" xfId="0" applyNumberFormat="1" applyBorder="1"/>
    <xf numFmtId="44" fontId="1" fillId="3" borderId="1" xfId="1" applyFont="1" applyFill="1" applyBorder="1" applyAlignment="1">
      <alignment horizontal="left"/>
    </xf>
    <xf numFmtId="164" fontId="11" fillId="0" borderId="1" xfId="0" applyNumberFormat="1" applyFont="1" applyBorder="1"/>
    <xf numFmtId="164" fontId="0" fillId="0" borderId="1" xfId="1" applyNumberFormat="1" applyFon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44" fontId="1" fillId="13" borderId="1" xfId="0" applyNumberFormat="1" applyFont="1" applyFill="1" applyBorder="1" applyAlignment="1">
      <alignment horizontal="left"/>
    </xf>
    <xf numFmtId="44" fontId="1" fillId="13" borderId="1" xfId="1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2" fillId="14" borderId="6" xfId="0" applyFont="1" applyFill="1" applyBorder="1" applyAlignment="1">
      <alignment horizontal="center" vertical="center"/>
    </xf>
    <xf numFmtId="164" fontId="0" fillId="0" borderId="0" xfId="0" applyNumberFormat="1"/>
    <xf numFmtId="164" fontId="17" fillId="3" borderId="1" xfId="1" applyNumberFormat="1" applyFont="1" applyFill="1" applyBorder="1" applyAlignment="1">
      <alignment horizontal="left"/>
    </xf>
    <xf numFmtId="164" fontId="17" fillId="3" borderId="1" xfId="1" applyNumberFormat="1" applyFont="1" applyFill="1" applyBorder="1" applyAlignment="1">
      <alignment horizontal="right"/>
    </xf>
    <xf numFmtId="44" fontId="17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165" fontId="18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center"/>
    </xf>
    <xf numFmtId="166" fontId="0" fillId="0" borderId="0" xfId="2" applyNumberFormat="1" applyFont="1"/>
    <xf numFmtId="166" fontId="9" fillId="0" borderId="6" xfId="2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166" fontId="20" fillId="0" borderId="6" xfId="2" applyNumberFormat="1" applyFont="1" applyBorder="1" applyAlignment="1">
      <alignment horizontal="left"/>
    </xf>
    <xf numFmtId="0" fontId="17" fillId="12" borderId="7" xfId="0" applyFont="1" applyFill="1" applyBorder="1" applyAlignment="1">
      <alignment horizontal="center"/>
    </xf>
    <xf numFmtId="164" fontId="17" fillId="0" borderId="6" xfId="0" applyNumberFormat="1" applyFont="1" applyBorder="1" applyAlignment="1">
      <alignment horizontal="left"/>
    </xf>
    <xf numFmtId="164" fontId="18" fillId="0" borderId="6" xfId="0" applyNumberFormat="1" applyFont="1" applyBorder="1" applyAlignment="1">
      <alignment horizontal="left"/>
    </xf>
    <xf numFmtId="44" fontId="1" fillId="0" borderId="1" xfId="1" applyFont="1" applyBorder="1" applyAlignment="1">
      <alignment horizontal="left"/>
    </xf>
    <xf numFmtId="165" fontId="17" fillId="0" borderId="1" xfId="0" applyNumberFormat="1" applyFont="1" applyBorder="1" applyAlignment="1">
      <alignment horizontal="right"/>
    </xf>
    <xf numFmtId="44" fontId="1" fillId="15" borderId="1" xfId="0" applyNumberFormat="1" applyFont="1" applyFill="1" applyBorder="1" applyAlignment="1">
      <alignment horizontal="left"/>
    </xf>
    <xf numFmtId="44" fontId="1" fillId="15" borderId="1" xfId="1" applyFont="1" applyFill="1" applyBorder="1" applyAlignment="1">
      <alignment horizontal="left"/>
    </xf>
    <xf numFmtId="167" fontId="6" fillId="0" borderId="0" xfId="3" applyNumberFormat="1" applyFont="1" applyAlignment="1">
      <alignment horizontal="left"/>
    </xf>
    <xf numFmtId="168" fontId="0" fillId="3" borderId="1" xfId="0" applyNumberFormat="1" applyFill="1" applyBorder="1"/>
    <xf numFmtId="168" fontId="0" fillId="0" borderId="1" xfId="0" applyNumberFormat="1" applyBorder="1"/>
    <xf numFmtId="0" fontId="21" fillId="0" borderId="1" xfId="0" applyFont="1" applyBorder="1"/>
    <xf numFmtId="168" fontId="1" fillId="0" borderId="1" xfId="0" applyNumberFormat="1" applyFont="1" applyBorder="1"/>
    <xf numFmtId="164" fontId="0" fillId="0" borderId="0" xfId="0" applyNumberFormat="1" applyAlignment="1">
      <alignment horizontal="left"/>
    </xf>
    <xf numFmtId="44" fontId="0" fillId="0" borderId="0" xfId="1" applyFont="1"/>
    <xf numFmtId="168" fontId="0" fillId="0" borderId="0" xfId="0" applyNumberFormat="1"/>
    <xf numFmtId="0" fontId="1" fillId="0" borderId="0" xfId="0" applyFont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168" fontId="0" fillId="0" borderId="0" xfId="1" applyNumberFormat="1" applyFont="1"/>
    <xf numFmtId="0" fontId="1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7" fontId="0" fillId="0" borderId="0" xfId="3" applyNumberFormat="1" applyFont="1"/>
    <xf numFmtId="167" fontId="0" fillId="0" borderId="0" xfId="0" applyNumberFormat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4"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  <color rgb="FF99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4093-D36B-405C-8F8D-278858561A3C}">
  <sheetPr>
    <pageSetUpPr fitToPage="1"/>
  </sheetPr>
  <dimension ref="B1:AG38"/>
  <sheetViews>
    <sheetView tabSelected="1" zoomScale="88" zoomScaleNormal="88" workbookViewId="0">
      <pane ySplit="3" topLeftCell="A4" activePane="bottomLeft" state="frozen"/>
      <selection pane="bottomLeft" activeCell="G28" sqref="G28"/>
    </sheetView>
  </sheetViews>
  <sheetFormatPr defaultRowHeight="15" x14ac:dyDescent="0.25"/>
  <cols>
    <col min="1" max="1" width="2.5703125" customWidth="1"/>
    <col min="2" max="2" width="24" style="5" bestFit="1" customWidth="1"/>
    <col min="3" max="3" width="18" style="5" bestFit="1" customWidth="1"/>
    <col min="4" max="4" width="15.140625" style="5" customWidth="1"/>
    <col min="5" max="5" width="26.140625" style="5" customWidth="1"/>
    <col min="6" max="6" width="18.42578125" bestFit="1" customWidth="1"/>
    <col min="7" max="7" width="14.85546875" bestFit="1" customWidth="1"/>
    <col min="8" max="8" width="3.140625" customWidth="1"/>
    <col min="9" max="9" width="16.42578125" bestFit="1" customWidth="1"/>
    <col min="10" max="10" width="12.7109375" hidden="1" customWidth="1"/>
    <col min="11" max="11" width="11.28515625" hidden="1" customWidth="1"/>
    <col min="12" max="12" width="11.7109375" hidden="1" customWidth="1"/>
    <col min="13" max="13" width="11.85546875" hidden="1" customWidth="1"/>
    <col min="14" max="15" width="12.7109375" hidden="1" customWidth="1"/>
    <col min="16" max="20" width="12.7109375" customWidth="1"/>
    <col min="21" max="26" width="9.28515625" bestFit="1" customWidth="1"/>
    <col min="27" max="27" width="9.7109375" bestFit="1" customWidth="1"/>
    <col min="28" max="28" width="1.85546875" customWidth="1"/>
    <col min="29" max="29" width="14.28515625" bestFit="1" customWidth="1"/>
    <col min="30" max="30" width="1.42578125" customWidth="1"/>
    <col min="31" max="31" width="14.28515625" bestFit="1" customWidth="1"/>
    <col min="32" max="32" width="4" customWidth="1"/>
    <col min="33" max="33" width="11" bestFit="1" customWidth="1"/>
  </cols>
  <sheetData>
    <row r="1" spans="2:33" ht="9.75" customHeight="1" thickBot="1" x14ac:dyDescent="0.3">
      <c r="R1" s="63"/>
      <c r="T1" s="63"/>
      <c r="V1" s="63"/>
      <c r="X1" s="63"/>
      <c r="Z1" s="63"/>
    </row>
    <row r="2" spans="2:33" ht="19.5" thickBot="1" x14ac:dyDescent="0.35">
      <c r="B2" s="100" t="s">
        <v>42</v>
      </c>
      <c r="C2" s="101"/>
      <c r="D2" s="101"/>
      <c r="E2" s="101"/>
      <c r="F2" s="102"/>
      <c r="G2" s="22"/>
      <c r="I2" s="28" t="s">
        <v>17</v>
      </c>
      <c r="P2" s="31" t="s">
        <v>41</v>
      </c>
      <c r="Q2" s="31" t="s">
        <v>56</v>
      </c>
      <c r="R2" s="63"/>
      <c r="S2" s="63"/>
      <c r="T2" s="63"/>
      <c r="U2" s="63"/>
      <c r="V2" s="63"/>
      <c r="X2" s="63"/>
      <c r="Y2" s="63"/>
    </row>
    <row r="3" spans="2:33" ht="16.5" thickBot="1" x14ac:dyDescent="0.3">
      <c r="B3" s="97" t="s">
        <v>1</v>
      </c>
      <c r="C3" s="62" t="s">
        <v>51</v>
      </c>
      <c r="D3" s="23" t="s">
        <v>0</v>
      </c>
      <c r="E3" s="62" t="s">
        <v>52</v>
      </c>
      <c r="F3" s="23" t="s">
        <v>0</v>
      </c>
      <c r="G3" s="23" t="s">
        <v>19</v>
      </c>
      <c r="I3" s="4" t="s">
        <v>1</v>
      </c>
      <c r="J3" s="32">
        <v>46023</v>
      </c>
      <c r="K3" s="32">
        <v>46054</v>
      </c>
      <c r="L3" s="32">
        <v>46082</v>
      </c>
      <c r="M3" s="32">
        <v>46113</v>
      </c>
      <c r="N3" s="32">
        <v>46143</v>
      </c>
      <c r="O3" s="32">
        <v>46174</v>
      </c>
      <c r="P3" s="33">
        <v>46204</v>
      </c>
      <c r="Q3" s="32">
        <v>46235</v>
      </c>
      <c r="R3" s="32">
        <v>46266</v>
      </c>
      <c r="S3" s="32">
        <v>46296</v>
      </c>
      <c r="T3" s="32">
        <v>46327</v>
      </c>
      <c r="U3" s="32">
        <v>46357</v>
      </c>
      <c r="V3" s="32">
        <v>46388</v>
      </c>
      <c r="W3" s="32">
        <v>46419</v>
      </c>
      <c r="X3" s="32">
        <v>46447</v>
      </c>
      <c r="Y3" s="32">
        <v>46478</v>
      </c>
      <c r="Z3" s="32">
        <v>46508</v>
      </c>
      <c r="AA3" s="32">
        <v>46539</v>
      </c>
      <c r="AC3" s="74" t="s">
        <v>49</v>
      </c>
      <c r="AE3" s="74" t="s">
        <v>57</v>
      </c>
    </row>
    <row r="4" spans="2:33" ht="19.5" thickBot="1" x14ac:dyDescent="0.35">
      <c r="B4" s="25" t="s">
        <v>2</v>
      </c>
      <c r="C4" s="26">
        <v>2654000</v>
      </c>
      <c r="D4" s="26">
        <f>C4/12</f>
        <v>221166.66666666666</v>
      </c>
      <c r="E4" s="26">
        <v>597080</v>
      </c>
      <c r="F4" s="53">
        <f>E4/12</f>
        <v>49756.666666666664</v>
      </c>
      <c r="G4" s="24">
        <f>C4+E4</f>
        <v>3251080</v>
      </c>
      <c r="I4" s="10" t="s">
        <v>20</v>
      </c>
      <c r="J4" s="15">
        <v>161292.35454545452</v>
      </c>
      <c r="K4" s="15">
        <v>44698.736363636366</v>
      </c>
      <c r="L4" s="15">
        <v>276382.11818181822</v>
      </c>
      <c r="M4" s="15">
        <v>216669.24545454545</v>
      </c>
      <c r="N4" s="15">
        <v>224571.05454545451</v>
      </c>
      <c r="O4" s="15">
        <v>240526.47272727272</v>
      </c>
      <c r="P4" s="15">
        <v>236656.75454545455</v>
      </c>
      <c r="Q4" s="15">
        <v>356802.4363636364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C4" s="75">
        <f>SUM(P5:AA5)-SUM(P4:AA4)</f>
        <v>2541540.8090909091</v>
      </c>
      <c r="AE4" s="71">
        <f>SUM(P4:AA4)/SUM(P5:AA5)</f>
        <v>0.18930117732347398</v>
      </c>
      <c r="AG4" s="63"/>
    </row>
    <row r="5" spans="2:33" ht="18.75" x14ac:dyDescent="0.3">
      <c r="B5" s="6" t="s">
        <v>3</v>
      </c>
      <c r="C5" s="7">
        <v>2784000</v>
      </c>
      <c r="D5" s="7">
        <f t="shared" ref="D5:D11" si="0">C5/12</f>
        <v>232000</v>
      </c>
      <c r="E5" s="7">
        <v>552000</v>
      </c>
      <c r="F5" s="54">
        <f t="shared" ref="F5:F8" si="1">E5/12</f>
        <v>46000</v>
      </c>
      <c r="G5" s="13">
        <f t="shared" ref="G5:G11" si="2">C5+E5</f>
        <v>3336000</v>
      </c>
      <c r="I5" s="18" t="s">
        <v>50</v>
      </c>
      <c r="J5" s="17">
        <v>176500</v>
      </c>
      <c r="K5" s="17">
        <v>176500</v>
      </c>
      <c r="L5" s="17">
        <v>176500</v>
      </c>
      <c r="M5" s="17">
        <v>176500</v>
      </c>
      <c r="N5" s="17">
        <v>176500</v>
      </c>
      <c r="O5" s="17">
        <v>176500</v>
      </c>
      <c r="P5" s="17">
        <v>261250</v>
      </c>
      <c r="Q5" s="17">
        <v>261250</v>
      </c>
      <c r="R5" s="17">
        <v>261250</v>
      </c>
      <c r="S5" s="17">
        <v>261250</v>
      </c>
      <c r="T5" s="17">
        <v>261250</v>
      </c>
      <c r="U5" s="17">
        <v>261250</v>
      </c>
      <c r="V5" s="17">
        <v>261250</v>
      </c>
      <c r="W5" s="17">
        <v>261250</v>
      </c>
      <c r="X5" s="17">
        <v>261250</v>
      </c>
      <c r="Y5" s="17">
        <v>261250</v>
      </c>
      <c r="Z5" s="17">
        <v>261250</v>
      </c>
      <c r="AA5" s="17">
        <v>261250</v>
      </c>
      <c r="AC5" s="67"/>
      <c r="AE5" s="72"/>
      <c r="AG5" s="63"/>
    </row>
    <row r="6" spans="2:33" ht="19.5" thickBot="1" x14ac:dyDescent="0.35">
      <c r="B6" s="6" t="s">
        <v>4</v>
      </c>
      <c r="C6" s="7">
        <v>920000</v>
      </c>
      <c r="D6" s="7">
        <f t="shared" si="0"/>
        <v>76666.666666666672</v>
      </c>
      <c r="E6" s="7">
        <v>224480</v>
      </c>
      <c r="F6" s="54">
        <f t="shared" si="1"/>
        <v>18706.666666666668</v>
      </c>
      <c r="G6" s="13">
        <f t="shared" si="2"/>
        <v>1144480</v>
      </c>
      <c r="I6" s="10" t="s">
        <v>16</v>
      </c>
      <c r="J6" s="15">
        <v>139795</v>
      </c>
      <c r="K6" s="15">
        <v>219347.88636363635</v>
      </c>
      <c r="L6" s="15">
        <v>124607.5</v>
      </c>
      <c r="M6" s="15">
        <v>224467.69090909092</v>
      </c>
      <c r="N6" s="15">
        <v>269426.77272727271</v>
      </c>
      <c r="O6" s="15">
        <v>257130.1</v>
      </c>
      <c r="P6" s="15">
        <v>196434.59090909091</v>
      </c>
      <c r="Q6" s="15">
        <v>193328.49090909091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C6" s="67"/>
      <c r="AE6" s="72"/>
    </row>
    <row r="7" spans="2:33" ht="19.5" thickBot="1" x14ac:dyDescent="0.35">
      <c r="B7" s="6" t="s">
        <v>5</v>
      </c>
      <c r="C7" s="7">
        <v>1031000</v>
      </c>
      <c r="D7" s="7">
        <f t="shared" si="0"/>
        <v>85916.666666666672</v>
      </c>
      <c r="E7" s="7">
        <v>302680</v>
      </c>
      <c r="F7" s="54">
        <f t="shared" si="1"/>
        <v>25223.333333333332</v>
      </c>
      <c r="G7" s="13">
        <f t="shared" si="2"/>
        <v>1333680</v>
      </c>
      <c r="I7" s="18" t="s">
        <v>50</v>
      </c>
      <c r="J7" s="17">
        <v>218250</v>
      </c>
      <c r="K7" s="17">
        <v>218250</v>
      </c>
      <c r="L7" s="17">
        <v>218250</v>
      </c>
      <c r="M7" s="17">
        <v>218250</v>
      </c>
      <c r="N7" s="17">
        <v>218250</v>
      </c>
      <c r="O7" s="17">
        <v>218250</v>
      </c>
      <c r="P7" s="17">
        <v>232000</v>
      </c>
      <c r="Q7" s="17">
        <v>232000</v>
      </c>
      <c r="R7" s="17">
        <v>232000</v>
      </c>
      <c r="S7" s="17">
        <v>232000</v>
      </c>
      <c r="T7" s="17">
        <v>232000</v>
      </c>
      <c r="U7" s="17">
        <v>232000</v>
      </c>
      <c r="V7" s="17">
        <v>232000</v>
      </c>
      <c r="W7" s="17">
        <v>232000</v>
      </c>
      <c r="X7" s="17">
        <v>232000</v>
      </c>
      <c r="Y7" s="17">
        <v>232000</v>
      </c>
      <c r="Z7" s="17">
        <v>232000</v>
      </c>
      <c r="AA7" s="17">
        <v>232000</v>
      </c>
      <c r="AC7" s="75">
        <f>SUM(P7:AA7)-SUM(P6:AA6)</f>
        <v>2394236.918181818</v>
      </c>
      <c r="AE7" s="71">
        <f>SUM(P6:AA6)/SUM(P7:AA7)</f>
        <v>0.14000110697492163</v>
      </c>
      <c r="AG7" s="70"/>
    </row>
    <row r="8" spans="2:33" ht="19.5" thickBot="1" x14ac:dyDescent="0.35">
      <c r="B8" s="6" t="s">
        <v>6</v>
      </c>
      <c r="C8" s="7">
        <v>706000</v>
      </c>
      <c r="D8" s="7">
        <f t="shared" si="0"/>
        <v>58833.333333333336</v>
      </c>
      <c r="E8" s="7">
        <v>170200</v>
      </c>
      <c r="F8" s="54">
        <f t="shared" si="1"/>
        <v>14183.333333333334</v>
      </c>
      <c r="G8" s="13">
        <f t="shared" si="2"/>
        <v>876200</v>
      </c>
      <c r="I8" s="11" t="s">
        <v>11</v>
      </c>
      <c r="J8" s="15">
        <v>27377.5</v>
      </c>
      <c r="K8" s="15">
        <v>88883.509090909094</v>
      </c>
      <c r="L8" s="15">
        <v>40825</v>
      </c>
      <c r="M8" s="15">
        <v>65805.345454545459</v>
      </c>
      <c r="N8" s="15">
        <v>73557.55454545455</v>
      </c>
      <c r="O8" s="15">
        <v>68175.445454545465</v>
      </c>
      <c r="P8" s="15">
        <v>78046.7</v>
      </c>
      <c r="Q8" s="15">
        <v>67725.281818181829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C8" s="67"/>
      <c r="AE8" s="72"/>
    </row>
    <row r="9" spans="2:33" ht="19.5" thickBot="1" x14ac:dyDescent="0.35">
      <c r="B9" s="6" t="s">
        <v>7</v>
      </c>
      <c r="C9" s="7">
        <v>349000</v>
      </c>
      <c r="D9" s="7">
        <f t="shared" si="0"/>
        <v>29083.333333333332</v>
      </c>
      <c r="E9" s="7">
        <v>104880</v>
      </c>
      <c r="F9" s="7">
        <v>0</v>
      </c>
      <c r="G9" s="13">
        <f t="shared" si="2"/>
        <v>453880</v>
      </c>
      <c r="I9" s="18" t="s">
        <v>50</v>
      </c>
      <c r="J9" s="17">
        <v>89750</v>
      </c>
      <c r="K9" s="17">
        <v>89750</v>
      </c>
      <c r="L9" s="17">
        <v>89750</v>
      </c>
      <c r="M9" s="17">
        <v>89750</v>
      </c>
      <c r="N9" s="17">
        <v>89750</v>
      </c>
      <c r="O9" s="17">
        <v>89750</v>
      </c>
      <c r="P9" s="17">
        <v>76666.666666666672</v>
      </c>
      <c r="Q9" s="17">
        <v>76666.666666666672</v>
      </c>
      <c r="R9" s="17">
        <v>76666.666666666672</v>
      </c>
      <c r="S9" s="17">
        <v>76666.666666666672</v>
      </c>
      <c r="T9" s="17">
        <v>76666.666666666672</v>
      </c>
      <c r="U9" s="17">
        <v>76666.666666666672</v>
      </c>
      <c r="V9" s="17">
        <v>76666.666666666672</v>
      </c>
      <c r="W9" s="17">
        <v>76666.666666666672</v>
      </c>
      <c r="X9" s="17">
        <v>76666.666666666672</v>
      </c>
      <c r="Y9" s="17">
        <v>76666.666666666672</v>
      </c>
      <c r="Z9" s="17">
        <v>76666.666666666672</v>
      </c>
      <c r="AA9" s="17">
        <v>76666.666666666672</v>
      </c>
      <c r="AC9" s="75">
        <f>SUM(P9:AA9)-SUM(P8:AA8)</f>
        <v>774228.01818181807</v>
      </c>
      <c r="AE9" s="71">
        <f>SUM(P8:AA8)/SUM(P9:AA9)</f>
        <v>0.15844780632411068</v>
      </c>
    </row>
    <row r="10" spans="2:33" ht="19.5" thickBot="1" x14ac:dyDescent="0.35">
      <c r="B10" s="6" t="s">
        <v>8</v>
      </c>
      <c r="C10" s="7">
        <v>996000</v>
      </c>
      <c r="D10" s="7">
        <f t="shared" si="0"/>
        <v>83000</v>
      </c>
      <c r="E10" s="7">
        <v>348680</v>
      </c>
      <c r="F10" s="7">
        <v>0</v>
      </c>
      <c r="G10" s="13">
        <f t="shared" si="2"/>
        <v>1344680</v>
      </c>
      <c r="I10" s="10" t="s">
        <v>12</v>
      </c>
      <c r="J10" s="15">
        <v>21471.627272727274</v>
      </c>
      <c r="K10" s="15">
        <v>81220.100000000006</v>
      </c>
      <c r="L10" s="15">
        <v>93531.5</v>
      </c>
      <c r="M10" s="15">
        <v>147133.12727272726</v>
      </c>
      <c r="N10" s="15">
        <v>79876.627272727259</v>
      </c>
      <c r="O10" s="15">
        <v>260334.55454545454</v>
      </c>
      <c r="P10" s="15">
        <v>9818.3272727272724</v>
      </c>
      <c r="Q10" s="15">
        <v>71019.436363636356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C10" s="67"/>
      <c r="AE10" s="72"/>
    </row>
    <row r="11" spans="2:33" ht="19.5" thickBot="1" x14ac:dyDescent="0.35">
      <c r="B11" s="6" t="s">
        <v>9</v>
      </c>
      <c r="C11" s="7">
        <v>481000</v>
      </c>
      <c r="D11" s="7">
        <f t="shared" si="0"/>
        <v>40083.333333333336</v>
      </c>
      <c r="E11" s="7">
        <v>0</v>
      </c>
      <c r="F11" s="7">
        <v>0</v>
      </c>
      <c r="G11" s="13">
        <f t="shared" si="2"/>
        <v>481000</v>
      </c>
      <c r="I11" s="18" t="s">
        <v>50</v>
      </c>
      <c r="J11" s="17">
        <v>106167</v>
      </c>
      <c r="K11" s="17">
        <v>106167</v>
      </c>
      <c r="L11" s="17">
        <v>106167</v>
      </c>
      <c r="M11" s="17">
        <v>106167</v>
      </c>
      <c r="N11" s="17">
        <v>106167</v>
      </c>
      <c r="O11" s="17">
        <v>106167</v>
      </c>
      <c r="P11" s="17">
        <v>85916.666666666672</v>
      </c>
      <c r="Q11" s="17">
        <v>85916.666666666672</v>
      </c>
      <c r="R11" s="17">
        <v>85916.666666666672</v>
      </c>
      <c r="S11" s="17">
        <v>85916.666666666672</v>
      </c>
      <c r="T11" s="17">
        <v>85916.666666666672</v>
      </c>
      <c r="U11" s="17">
        <v>85916.666666666672</v>
      </c>
      <c r="V11" s="17">
        <v>85916.666666666672</v>
      </c>
      <c r="W11" s="17">
        <v>85916.666666666672</v>
      </c>
      <c r="X11" s="17">
        <v>85916.666666666672</v>
      </c>
      <c r="Y11" s="17">
        <v>85916.666666666672</v>
      </c>
      <c r="Z11" s="17">
        <v>85916.666666666672</v>
      </c>
      <c r="AA11" s="17">
        <v>85916.666666666672</v>
      </c>
      <c r="AC11" s="75">
        <f>SUM(P11:AA11)-SUM(P10:AA10)</f>
        <v>950162.23636363621</v>
      </c>
      <c r="AE11" s="71">
        <f>SUM(P10:AA10)/SUM(P11:AA11)</f>
        <v>7.8407142227316817E-2</v>
      </c>
    </row>
    <row r="12" spans="2:33" ht="19.5" thickBot="1" x14ac:dyDescent="0.35">
      <c r="B12" s="8" t="s">
        <v>10</v>
      </c>
      <c r="C12" s="9">
        <f>SUM(C4:C11)</f>
        <v>9921000</v>
      </c>
      <c r="D12" s="20">
        <f>SUM(D4:D11)</f>
        <v>826750</v>
      </c>
      <c r="E12" s="9">
        <f>SUM(E4:E11)</f>
        <v>2300000</v>
      </c>
      <c r="F12" s="20">
        <f>SUM(F4:F11)</f>
        <v>153870</v>
      </c>
      <c r="G12" s="51">
        <f>C12+E12</f>
        <v>12221000</v>
      </c>
      <c r="I12" s="10" t="s">
        <v>13</v>
      </c>
      <c r="J12" s="15">
        <v>46472.5</v>
      </c>
      <c r="K12" s="15">
        <v>36141</v>
      </c>
      <c r="L12" s="15">
        <v>92038.26</v>
      </c>
      <c r="M12" s="15">
        <v>97303.645454545462</v>
      </c>
      <c r="N12" s="15">
        <v>113070.76000000001</v>
      </c>
      <c r="O12" s="15">
        <v>92878.64</v>
      </c>
      <c r="P12" s="15">
        <v>91409.55</v>
      </c>
      <c r="Q12" s="15">
        <v>92180.672727272744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C12" s="67"/>
      <c r="AE12" s="72"/>
    </row>
    <row r="13" spans="2:33" ht="19.5" thickBot="1" x14ac:dyDescent="0.35">
      <c r="B13" s="35" t="s">
        <v>22</v>
      </c>
      <c r="C13" s="55">
        <v>2300000</v>
      </c>
      <c r="I13" s="18" t="s">
        <v>50</v>
      </c>
      <c r="J13" s="17">
        <v>92167</v>
      </c>
      <c r="K13" s="17">
        <v>92167</v>
      </c>
      <c r="L13" s="17">
        <v>92167</v>
      </c>
      <c r="M13" s="17">
        <v>92167</v>
      </c>
      <c r="N13" s="17">
        <v>92167</v>
      </c>
      <c r="O13" s="17">
        <v>92167</v>
      </c>
      <c r="P13" s="17">
        <v>58833.333333333336</v>
      </c>
      <c r="Q13" s="17">
        <v>58833.333333333336</v>
      </c>
      <c r="R13" s="17">
        <v>58833.333333333336</v>
      </c>
      <c r="S13" s="17">
        <v>58833.333333333336</v>
      </c>
      <c r="T13" s="17">
        <v>58833.333333333336</v>
      </c>
      <c r="U13" s="17">
        <v>58833.333333333336</v>
      </c>
      <c r="V13" s="17">
        <v>58833.333333333336</v>
      </c>
      <c r="W13" s="17">
        <v>58833.333333333336</v>
      </c>
      <c r="X13" s="17">
        <v>58833.333333333336</v>
      </c>
      <c r="Y13" s="17">
        <v>58833.333333333336</v>
      </c>
      <c r="Z13" s="17">
        <v>58833.333333333336</v>
      </c>
      <c r="AA13" s="17">
        <v>58833.333333333336</v>
      </c>
      <c r="AC13" s="75">
        <f>SUM(P13:AA13)-SUM(P12:AA12)</f>
        <v>522409.77727272734</v>
      </c>
      <c r="AE13" s="71">
        <f>SUM(P12:AA12)/SUM(P13:AA13)</f>
        <v>0.26004280839557042</v>
      </c>
    </row>
    <row r="14" spans="2:33" ht="19.5" thickBot="1" x14ac:dyDescent="0.35">
      <c r="E14" s="86"/>
      <c r="I14" s="10" t="s">
        <v>14</v>
      </c>
      <c r="J14" s="15">
        <v>31765.5</v>
      </c>
      <c r="K14" s="15">
        <v>14243.681818181816</v>
      </c>
      <c r="L14" s="15">
        <v>25977.75</v>
      </c>
      <c r="M14" s="15">
        <v>23734.3</v>
      </c>
      <c r="N14" s="15">
        <v>24359</v>
      </c>
      <c r="O14" s="15">
        <v>124372.24909090908</v>
      </c>
      <c r="P14" s="15">
        <v>32230.6</v>
      </c>
      <c r="Q14" s="15">
        <v>31964.83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C14" s="67"/>
      <c r="AE14" s="72"/>
    </row>
    <row r="15" spans="2:33" ht="19.5" thickBot="1" x14ac:dyDescent="0.35">
      <c r="B15" s="31" t="s">
        <v>56</v>
      </c>
      <c r="C15" s="96" t="s">
        <v>53</v>
      </c>
      <c r="D15" s="96" t="s">
        <v>54</v>
      </c>
      <c r="E15" s="93"/>
      <c r="F15" s="96" t="s">
        <v>232</v>
      </c>
      <c r="G15" s="96" t="s">
        <v>233</v>
      </c>
      <c r="I15" s="18" t="s">
        <v>50</v>
      </c>
      <c r="J15" s="17">
        <v>26333</v>
      </c>
      <c r="K15" s="17">
        <v>26333</v>
      </c>
      <c r="L15" s="17">
        <v>26333</v>
      </c>
      <c r="M15" s="17">
        <v>26333</v>
      </c>
      <c r="N15" s="17">
        <v>26333</v>
      </c>
      <c r="O15" s="17">
        <v>26333</v>
      </c>
      <c r="P15" s="17">
        <v>29083.333333333332</v>
      </c>
      <c r="Q15" s="17">
        <v>29083.333333333332</v>
      </c>
      <c r="R15" s="17">
        <v>29083.333333333332</v>
      </c>
      <c r="S15" s="17">
        <v>29083.333333333332</v>
      </c>
      <c r="T15" s="17">
        <v>29083.333333333332</v>
      </c>
      <c r="U15" s="17">
        <v>29083.333333333332</v>
      </c>
      <c r="V15" s="17">
        <v>29083.333333333332</v>
      </c>
      <c r="W15" s="17">
        <v>29083.333333333332</v>
      </c>
      <c r="X15" s="17">
        <v>29083.333333333332</v>
      </c>
      <c r="Y15" s="17">
        <v>29083.333333333332</v>
      </c>
      <c r="Z15" s="17">
        <v>29083.333333333332</v>
      </c>
      <c r="AA15" s="17">
        <v>29083.333333333332</v>
      </c>
      <c r="AC15" s="75">
        <f>SUM(P15:AA15)-SUM(P14:AA14)</f>
        <v>284804.57</v>
      </c>
      <c r="AE15" s="71">
        <f>SUM(P14:AA14)/SUM(P15:AA15)</f>
        <v>0.18394106017191977</v>
      </c>
    </row>
    <row r="16" spans="2:33" ht="19.5" thickBot="1" x14ac:dyDescent="0.35">
      <c r="B16" s="34" t="s">
        <v>38</v>
      </c>
      <c r="C16" s="21">
        <v>593459.19090909092</v>
      </c>
      <c r="D16" s="21">
        <v>214925.25454545455</v>
      </c>
      <c r="E16" s="34" t="s">
        <v>38</v>
      </c>
      <c r="F16" s="52">
        <f>R4</f>
        <v>0</v>
      </c>
      <c r="G16" s="52">
        <f>R22</f>
        <v>0</v>
      </c>
      <c r="I16" s="10" t="s">
        <v>15</v>
      </c>
      <c r="J16" s="15">
        <v>101156.00909090909</v>
      </c>
      <c r="K16" s="15">
        <v>145753.77272727271</v>
      </c>
      <c r="L16" s="15">
        <v>125648.4</v>
      </c>
      <c r="M16" s="15">
        <v>92656.2</v>
      </c>
      <c r="N16" s="15">
        <v>149198.97272727272</v>
      </c>
      <c r="O16" s="15">
        <v>36060.75454545454</v>
      </c>
      <c r="P16" s="15">
        <v>321596.32727272721</v>
      </c>
      <c r="Q16" s="15">
        <v>92809.636363636368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C16" s="67"/>
      <c r="AE16" s="72"/>
    </row>
    <row r="17" spans="2:33" ht="19.5" thickBot="1" x14ac:dyDescent="0.35">
      <c r="B17" s="34" t="s">
        <v>3</v>
      </c>
      <c r="C17" s="21">
        <v>389763.08181818179</v>
      </c>
      <c r="D17" s="21">
        <v>0</v>
      </c>
      <c r="E17" s="34" t="s">
        <v>3</v>
      </c>
      <c r="F17" s="52">
        <f>R6</f>
        <v>0</v>
      </c>
      <c r="G17" s="52">
        <f>R24</f>
        <v>0</v>
      </c>
      <c r="I17" s="18" t="s">
        <v>50</v>
      </c>
      <c r="J17" s="17">
        <v>92333</v>
      </c>
      <c r="K17" s="17">
        <v>92333</v>
      </c>
      <c r="L17" s="17">
        <v>92333</v>
      </c>
      <c r="M17" s="17">
        <v>92333</v>
      </c>
      <c r="N17" s="17">
        <v>92333</v>
      </c>
      <c r="O17" s="17">
        <v>92333</v>
      </c>
      <c r="P17" s="17">
        <v>83000</v>
      </c>
      <c r="Q17" s="17">
        <v>83000</v>
      </c>
      <c r="R17" s="17">
        <v>50000</v>
      </c>
      <c r="S17" s="17">
        <v>50000</v>
      </c>
      <c r="T17" s="17">
        <v>50000</v>
      </c>
      <c r="U17" s="17">
        <v>100000</v>
      </c>
      <c r="V17" s="17">
        <v>100000</v>
      </c>
      <c r="W17" s="17">
        <v>100000</v>
      </c>
      <c r="X17" s="17">
        <v>100000</v>
      </c>
      <c r="Y17" s="17">
        <v>90000</v>
      </c>
      <c r="Z17" s="17">
        <v>100000</v>
      </c>
      <c r="AA17" s="17">
        <v>90000</v>
      </c>
      <c r="AC17" s="75">
        <f>SUM(P17:AA17)-SUM(P16:AA16)</f>
        <v>581594.03636363638</v>
      </c>
      <c r="AE17" s="73">
        <f>SUM(P16:AA16)/SUM(P17:AA17)</f>
        <v>0.41607024461482284</v>
      </c>
      <c r="AG17" s="63"/>
    </row>
    <row r="18" spans="2:33" ht="15.75" x14ac:dyDescent="0.25">
      <c r="B18" s="34" t="s">
        <v>4</v>
      </c>
      <c r="C18" s="21">
        <v>145771.98181818181</v>
      </c>
      <c r="D18" s="21">
        <v>71038.536363636362</v>
      </c>
      <c r="E18" s="34" t="s">
        <v>4</v>
      </c>
      <c r="F18" s="52">
        <f>R8</f>
        <v>0</v>
      </c>
      <c r="G18" s="52">
        <f>R26</f>
        <v>0</v>
      </c>
      <c r="I18" s="12" t="s">
        <v>19</v>
      </c>
      <c r="J18" s="2">
        <v>529330.49090909085</v>
      </c>
      <c r="K18" s="2">
        <f t="shared" ref="K18:U18" si="3">K4+K6+K8+K10+K12+K14+K16</f>
        <v>630288.68636363628</v>
      </c>
      <c r="L18" s="2">
        <f t="shared" si="3"/>
        <v>779010.5281818182</v>
      </c>
      <c r="M18" s="2">
        <f t="shared" si="3"/>
        <v>867769.55454545468</v>
      </c>
      <c r="N18" s="2">
        <f t="shared" si="3"/>
        <v>934060.7418181817</v>
      </c>
      <c r="O18" s="2">
        <f t="shared" si="3"/>
        <v>1079478.2163636365</v>
      </c>
      <c r="P18" s="2">
        <f>P4+P6+P8+P10+P12+P14+P16</f>
        <v>966192.84999999986</v>
      </c>
      <c r="Q18" s="2">
        <f t="shared" si="3"/>
        <v>905830.78454545455</v>
      </c>
      <c r="R18" s="2">
        <f t="shared" si="3"/>
        <v>0</v>
      </c>
      <c r="S18" s="2">
        <f t="shared" si="3"/>
        <v>0</v>
      </c>
      <c r="T18" s="2">
        <f t="shared" si="3"/>
        <v>0</v>
      </c>
      <c r="U18" s="2">
        <f t="shared" si="3"/>
        <v>0</v>
      </c>
      <c r="V18" s="2">
        <f t="shared" ref="V18:Z18" si="4">V4+V6+V8+V10+V12+V14+V16</f>
        <v>0</v>
      </c>
      <c r="W18" s="2">
        <f t="shared" si="4"/>
        <v>0</v>
      </c>
      <c r="X18" s="2">
        <f t="shared" si="4"/>
        <v>0</v>
      </c>
      <c r="Y18" s="2">
        <f t="shared" si="4"/>
        <v>0</v>
      </c>
      <c r="Z18" s="2">
        <f t="shared" si="4"/>
        <v>0</v>
      </c>
      <c r="AA18" s="2">
        <f t="shared" ref="AA18" si="5">AA4+AA6+AA8+AA10+AA12+AA14+AA16</f>
        <v>0</v>
      </c>
      <c r="AC18" s="67"/>
    </row>
    <row r="19" spans="2:33" ht="15.75" x14ac:dyDescent="0.25">
      <c r="B19" s="34" t="s">
        <v>5</v>
      </c>
      <c r="C19" s="21">
        <v>80837.763636363627</v>
      </c>
      <c r="D19" s="21">
        <v>202690.23636363639</v>
      </c>
      <c r="E19" s="34" t="s">
        <v>5</v>
      </c>
      <c r="F19" s="52">
        <f>R10</f>
        <v>0</v>
      </c>
      <c r="G19" s="52">
        <f>R28</f>
        <v>0</v>
      </c>
      <c r="AC19" s="81"/>
      <c r="AE19" s="95"/>
    </row>
    <row r="20" spans="2:33" ht="15.75" x14ac:dyDescent="0.25">
      <c r="B20" s="34" t="s">
        <v>6</v>
      </c>
      <c r="C20" s="21">
        <v>183590.22272727275</v>
      </c>
      <c r="D20" s="21">
        <v>0</v>
      </c>
      <c r="E20" s="34" t="s">
        <v>6</v>
      </c>
      <c r="F20" s="52">
        <f>R12</f>
        <v>0</v>
      </c>
      <c r="G20" s="52">
        <f>R30</f>
        <v>0</v>
      </c>
      <c r="I20" s="29" t="s">
        <v>18</v>
      </c>
      <c r="P20" s="31" t="s">
        <v>41</v>
      </c>
      <c r="Q20" s="31" t="s">
        <v>56</v>
      </c>
      <c r="AC20" s="67"/>
    </row>
    <row r="21" spans="2:33" ht="15.75" x14ac:dyDescent="0.25">
      <c r="B21" s="34" t="s">
        <v>7</v>
      </c>
      <c r="C21" s="21">
        <v>64195.43</v>
      </c>
      <c r="D21" s="21">
        <v>105540.32727272727</v>
      </c>
      <c r="E21" s="34" t="s">
        <v>7</v>
      </c>
      <c r="F21" s="52">
        <f>R14</f>
        <v>0</v>
      </c>
      <c r="G21" s="52">
        <f>R32</f>
        <v>0</v>
      </c>
      <c r="I21" s="4" t="s">
        <v>1</v>
      </c>
      <c r="J21" s="32">
        <v>46023</v>
      </c>
      <c r="K21" s="32">
        <v>46054</v>
      </c>
      <c r="L21" s="32">
        <v>46082</v>
      </c>
      <c r="M21" s="32">
        <v>46113</v>
      </c>
      <c r="N21" s="32">
        <v>46143</v>
      </c>
      <c r="O21" s="32">
        <v>46174</v>
      </c>
      <c r="P21" s="33">
        <v>46204</v>
      </c>
      <c r="Q21" s="32">
        <v>46235</v>
      </c>
      <c r="R21" s="32">
        <v>46266</v>
      </c>
      <c r="S21" s="32">
        <v>46296</v>
      </c>
      <c r="T21" s="32">
        <v>46327</v>
      </c>
      <c r="U21" s="32">
        <v>46357</v>
      </c>
      <c r="V21" s="32">
        <v>46388</v>
      </c>
      <c r="W21" s="32">
        <v>46419</v>
      </c>
      <c r="X21" s="32">
        <v>46447</v>
      </c>
      <c r="Y21" s="32">
        <v>46478</v>
      </c>
      <c r="Z21" s="32">
        <v>46508</v>
      </c>
      <c r="AA21" s="32">
        <v>46539</v>
      </c>
      <c r="AC21" s="67"/>
      <c r="AE21" s="98"/>
    </row>
    <row r="22" spans="2:33" ht="16.5" thickBot="1" x14ac:dyDescent="0.3">
      <c r="B22" s="34" t="s">
        <v>8</v>
      </c>
      <c r="C22" s="21">
        <v>414405.96363636357</v>
      </c>
      <c r="D22" s="21">
        <v>554760.31818181812</v>
      </c>
      <c r="E22" s="34" t="s">
        <v>8</v>
      </c>
      <c r="F22" s="52">
        <f>R16</f>
        <v>0</v>
      </c>
      <c r="G22" s="52">
        <f>R34</f>
        <v>0</v>
      </c>
      <c r="I22" s="10" t="s">
        <v>20</v>
      </c>
      <c r="J22" s="15">
        <v>251817.03636363638</v>
      </c>
      <c r="K22" s="15">
        <v>219450.32454545455</v>
      </c>
      <c r="L22" s="15">
        <v>213370.82272727272</v>
      </c>
      <c r="M22" s="15">
        <v>75007.820000000007</v>
      </c>
      <c r="N22" s="15">
        <v>2828.7</v>
      </c>
      <c r="O22" s="15">
        <v>412659.20909090911</v>
      </c>
      <c r="P22" s="15">
        <v>95289.054545454535</v>
      </c>
      <c r="Q22" s="15">
        <v>119636.20000000001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C22" s="67"/>
      <c r="AE22" s="98"/>
      <c r="AG22" s="63"/>
    </row>
    <row r="23" spans="2:33" ht="16.5" thickBot="1" x14ac:dyDescent="0.3">
      <c r="B23" s="58" t="s">
        <v>19</v>
      </c>
      <c r="C23" s="59">
        <f>SUM(C16:C22)</f>
        <v>1872023.6345454543</v>
      </c>
      <c r="D23" s="59">
        <f>SUM(D16:D22)</f>
        <v>1148954.6727272726</v>
      </c>
      <c r="E23" s="58"/>
      <c r="F23" s="79">
        <f>SUM(F16:F22)</f>
        <v>0</v>
      </c>
      <c r="G23" s="79">
        <f>SUM(G16:G22)</f>
        <v>0</v>
      </c>
      <c r="I23" s="19" t="s">
        <v>50</v>
      </c>
      <c r="J23" s="16">
        <v>35000</v>
      </c>
      <c r="K23" s="16">
        <v>35000</v>
      </c>
      <c r="L23" s="16">
        <v>35000</v>
      </c>
      <c r="M23" s="16">
        <v>35000</v>
      </c>
      <c r="N23" s="16">
        <v>35000</v>
      </c>
      <c r="O23" s="16">
        <v>35000</v>
      </c>
      <c r="P23" s="16">
        <v>49756.666666666664</v>
      </c>
      <c r="Q23" s="16">
        <v>49756.666666666664</v>
      </c>
      <c r="R23" s="16">
        <v>49756.666666666664</v>
      </c>
      <c r="S23" s="16">
        <v>49756.666666666664</v>
      </c>
      <c r="T23" s="16">
        <v>49756.666666666664</v>
      </c>
      <c r="U23" s="16">
        <v>49756.666666666664</v>
      </c>
      <c r="V23" s="16">
        <v>49756.666666666664</v>
      </c>
      <c r="W23" s="16">
        <v>49756.666666666664</v>
      </c>
      <c r="X23" s="16">
        <v>49756.666666666664</v>
      </c>
      <c r="Y23" s="16">
        <v>49756.666666666664</v>
      </c>
      <c r="Z23" s="16">
        <v>49756.666666666664</v>
      </c>
      <c r="AA23" s="16">
        <v>49756.666666666664</v>
      </c>
      <c r="AC23" s="75">
        <f>SUM(P23:AA23)-SUM(P22:AA22)</f>
        <v>382154.74545454548</v>
      </c>
      <c r="AE23" s="98"/>
    </row>
    <row r="24" spans="2:33" ht="16.5" thickBot="1" x14ac:dyDescent="0.3">
      <c r="I24" s="10" t="s">
        <v>16</v>
      </c>
      <c r="J24" s="15"/>
      <c r="K24" s="15"/>
      <c r="L24" s="15">
        <v>0</v>
      </c>
      <c r="M24" s="15">
        <v>0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C24" s="67"/>
    </row>
    <row r="25" spans="2:33" ht="16.5" thickBot="1" x14ac:dyDescent="0.3">
      <c r="B25" s="35" t="s">
        <v>44</v>
      </c>
      <c r="C25" s="64">
        <v>739441.33636363631</v>
      </c>
      <c r="D25" s="50"/>
      <c r="E25" s="60" t="s">
        <v>234</v>
      </c>
      <c r="F25" s="80"/>
      <c r="G25" s="50"/>
      <c r="I25" s="19" t="s">
        <v>50</v>
      </c>
      <c r="J25" s="16">
        <v>15000</v>
      </c>
      <c r="K25" s="16">
        <v>15000</v>
      </c>
      <c r="L25" s="16">
        <v>15000</v>
      </c>
      <c r="M25" s="16">
        <v>15000</v>
      </c>
      <c r="N25" s="16">
        <v>15000</v>
      </c>
      <c r="O25" s="16">
        <v>15000</v>
      </c>
      <c r="P25" s="16">
        <v>46000</v>
      </c>
      <c r="Q25" s="16">
        <v>46000</v>
      </c>
      <c r="R25" s="16">
        <v>46000</v>
      </c>
      <c r="S25" s="16">
        <v>46000</v>
      </c>
      <c r="T25" s="16">
        <v>46000</v>
      </c>
      <c r="U25" s="16">
        <v>46000</v>
      </c>
      <c r="V25" s="16">
        <v>46000</v>
      </c>
      <c r="W25" s="16">
        <v>46000</v>
      </c>
      <c r="X25" s="16">
        <v>46000</v>
      </c>
      <c r="Y25" s="16">
        <v>46000</v>
      </c>
      <c r="Z25" s="16">
        <v>46000</v>
      </c>
      <c r="AA25" s="16">
        <v>46000</v>
      </c>
      <c r="AC25" s="75">
        <f>SUM(P25:AA25)-SUM(P24:AA24)</f>
        <v>552000</v>
      </c>
      <c r="AE25" s="99"/>
    </row>
    <row r="26" spans="2:33" ht="16.5" thickBot="1" x14ac:dyDescent="0.3">
      <c r="I26" s="11" t="s">
        <v>11</v>
      </c>
      <c r="J26" s="15"/>
      <c r="K26" s="15"/>
      <c r="L26" s="15">
        <v>0</v>
      </c>
      <c r="M26" s="15">
        <v>17548.436363636363</v>
      </c>
      <c r="N26" s="15"/>
      <c r="O26" s="15"/>
      <c r="P26" s="15">
        <v>71038.536363636362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C26" s="67"/>
    </row>
    <row r="27" spans="2:33" ht="16.5" thickBot="1" x14ac:dyDescent="0.3">
      <c r="B27" s="35" t="s">
        <v>43</v>
      </c>
      <c r="C27" s="65">
        <f>C13-C25-F25</f>
        <v>1560558.6636363636</v>
      </c>
      <c r="I27" s="19" t="s">
        <v>50</v>
      </c>
      <c r="J27" s="16">
        <v>10000</v>
      </c>
      <c r="K27" s="16">
        <v>10000</v>
      </c>
      <c r="L27" s="16">
        <v>10000</v>
      </c>
      <c r="M27" s="16">
        <v>10000</v>
      </c>
      <c r="N27" s="16">
        <v>10000</v>
      </c>
      <c r="O27" s="16">
        <v>10000</v>
      </c>
      <c r="P27" s="16">
        <v>18706.666666666668</v>
      </c>
      <c r="Q27" s="16">
        <v>18706.666666666668</v>
      </c>
      <c r="R27" s="16">
        <v>18706.666666666668</v>
      </c>
      <c r="S27" s="16">
        <v>18706.666666666668</v>
      </c>
      <c r="T27" s="16">
        <v>18706.666666666668</v>
      </c>
      <c r="U27" s="16">
        <v>18706.666666666668</v>
      </c>
      <c r="V27" s="16">
        <v>18706.666666666668</v>
      </c>
      <c r="W27" s="16">
        <v>18706.666666666668</v>
      </c>
      <c r="X27" s="16">
        <v>18706.666666666668</v>
      </c>
      <c r="Y27" s="16">
        <v>18706.666666666668</v>
      </c>
      <c r="Z27" s="16">
        <v>18706.666666666668</v>
      </c>
      <c r="AA27" s="16">
        <v>18706.666666666668</v>
      </c>
      <c r="AC27" s="75">
        <f>SUM(P27:AA27)-SUM(P26:AA26)</f>
        <v>153441.46363636362</v>
      </c>
    </row>
    <row r="28" spans="2:33" ht="16.5" thickBot="1" x14ac:dyDescent="0.3">
      <c r="B28" s="57" t="s">
        <v>47</v>
      </c>
      <c r="C28" s="66">
        <f>C23+F23</f>
        <v>1872023.6345454543</v>
      </c>
      <c r="I28" s="10" t="s">
        <v>12</v>
      </c>
      <c r="J28" s="15"/>
      <c r="K28" s="15"/>
      <c r="L28" s="15">
        <v>218300.99090909091</v>
      </c>
      <c r="M28" s="15">
        <v>6979.4999999999991</v>
      </c>
      <c r="N28" s="15"/>
      <c r="O28" s="15"/>
      <c r="P28" s="15"/>
      <c r="Q28" s="15">
        <v>202690.23636363639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C28" s="67"/>
    </row>
    <row r="29" spans="2:33" ht="16.5" thickBot="1" x14ac:dyDescent="0.3">
      <c r="B29" s="56" t="s">
        <v>48</v>
      </c>
      <c r="C29" s="66">
        <f>D23+G23</f>
        <v>1148954.6727272726</v>
      </c>
      <c r="I29" s="19" t="s">
        <v>50</v>
      </c>
      <c r="J29" s="16">
        <v>10000</v>
      </c>
      <c r="K29" s="16">
        <v>10000</v>
      </c>
      <c r="L29" s="16">
        <v>10000</v>
      </c>
      <c r="M29" s="16">
        <v>10000</v>
      </c>
      <c r="N29" s="16">
        <v>10000</v>
      </c>
      <c r="O29" s="16">
        <v>10000</v>
      </c>
      <c r="P29" s="16">
        <v>25223.333333333332</v>
      </c>
      <c r="Q29" s="16">
        <v>25223.333333333332</v>
      </c>
      <c r="R29" s="16">
        <v>25223.333333333332</v>
      </c>
      <c r="S29" s="16">
        <v>25223.333333333332</v>
      </c>
      <c r="T29" s="16">
        <v>25223.333333333332</v>
      </c>
      <c r="U29" s="16">
        <v>25223.333333333332</v>
      </c>
      <c r="V29" s="16">
        <v>25223.333333333332</v>
      </c>
      <c r="W29" s="16">
        <v>25223.333333333332</v>
      </c>
      <c r="X29" s="16">
        <v>25223.333333333332</v>
      </c>
      <c r="Y29" s="16">
        <v>25223.333333333332</v>
      </c>
      <c r="Z29" s="16">
        <v>25223.333333333332</v>
      </c>
      <c r="AA29" s="16">
        <v>25223.333333333332</v>
      </c>
      <c r="AC29" s="75">
        <f>SUM(P29:AA29)-SUM(P28:AA28)</f>
        <v>99989.763636363612</v>
      </c>
    </row>
    <row r="30" spans="2:33" ht="16.5" thickBot="1" x14ac:dyDescent="0.3">
      <c r="C30" s="67"/>
      <c r="G30" s="14"/>
      <c r="I30" s="10" t="s">
        <v>13</v>
      </c>
      <c r="J30" s="15"/>
      <c r="K30" s="15"/>
      <c r="L30" s="15">
        <v>0</v>
      </c>
      <c r="M30" s="15">
        <v>19814.400000000001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C30" s="67"/>
    </row>
    <row r="31" spans="2:33" ht="16.5" thickBot="1" x14ac:dyDescent="0.3">
      <c r="B31" s="27" t="s">
        <v>45</v>
      </c>
      <c r="C31" s="68">
        <f>9921000-C28</f>
        <v>8048976.3654545452</v>
      </c>
      <c r="E31" s="61" t="s">
        <v>227</v>
      </c>
      <c r="F31" s="69"/>
      <c r="I31" s="19" t="s">
        <v>50</v>
      </c>
      <c r="J31" s="16">
        <v>10000</v>
      </c>
      <c r="K31" s="16">
        <v>10000</v>
      </c>
      <c r="L31" s="16">
        <v>10000</v>
      </c>
      <c r="M31" s="16">
        <v>10000</v>
      </c>
      <c r="N31" s="16">
        <v>10000</v>
      </c>
      <c r="O31" s="16">
        <v>10000</v>
      </c>
      <c r="P31" s="16">
        <v>14183.333333333334</v>
      </c>
      <c r="Q31" s="16">
        <v>14183.333333333334</v>
      </c>
      <c r="R31" s="16">
        <v>14183.333333333334</v>
      </c>
      <c r="S31" s="16">
        <v>14183.333333333334</v>
      </c>
      <c r="T31" s="16">
        <v>14183.333333333334</v>
      </c>
      <c r="U31" s="16">
        <v>14183.333333333334</v>
      </c>
      <c r="V31" s="16">
        <v>14183.333333333334</v>
      </c>
      <c r="W31" s="16">
        <v>14183.333333333334</v>
      </c>
      <c r="X31" s="16">
        <v>14183.333333333334</v>
      </c>
      <c r="Y31" s="16">
        <v>14183.333333333334</v>
      </c>
      <c r="Z31" s="16">
        <v>14183.333333333334</v>
      </c>
      <c r="AA31" s="16">
        <v>14183.333333333334</v>
      </c>
      <c r="AC31" s="75">
        <f>SUM(P31:AA31)-SUM(P30:AA30)</f>
        <v>170200</v>
      </c>
    </row>
    <row r="32" spans="2:33" ht="16.5" thickBot="1" x14ac:dyDescent="0.3">
      <c r="B32" s="27" t="s">
        <v>46</v>
      </c>
      <c r="C32" s="68">
        <f>E12-C29</f>
        <v>1151045.3272727274</v>
      </c>
      <c r="E32" s="61" t="s">
        <v>228</v>
      </c>
      <c r="F32" s="69"/>
      <c r="I32" s="10" t="s">
        <v>14</v>
      </c>
      <c r="J32" s="15"/>
      <c r="K32" s="15">
        <v>33738.390909090907</v>
      </c>
      <c r="L32" s="15">
        <v>30953.109090909093</v>
      </c>
      <c r="M32" s="15">
        <v>16782.599999999999</v>
      </c>
      <c r="N32" s="15"/>
      <c r="O32" s="15"/>
      <c r="P32" s="15">
        <v>87304.677272727262</v>
      </c>
      <c r="Q32" s="15">
        <v>18235.650000000001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C32" s="67"/>
    </row>
    <row r="33" spans="2:29" ht="16.5" thickBot="1" x14ac:dyDescent="0.3">
      <c r="B33" s="27" t="s">
        <v>55</v>
      </c>
      <c r="C33" s="78">
        <v>204536.4</v>
      </c>
      <c r="E33" s="61" t="s">
        <v>229</v>
      </c>
      <c r="F33" s="69"/>
      <c r="I33" s="19" t="s">
        <v>50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C33" s="75">
        <f>SUM(P33:AA33)-SUM(P32:AA32)</f>
        <v>-105540.32727272727</v>
      </c>
    </row>
    <row r="34" spans="2:29" ht="19.5" thickBot="1" x14ac:dyDescent="0.35">
      <c r="B34" s="27" t="s">
        <v>230</v>
      </c>
      <c r="C34" s="77">
        <v>439996.90363636368</v>
      </c>
      <c r="I34" s="10" t="s">
        <v>15</v>
      </c>
      <c r="J34" s="15"/>
      <c r="K34" s="15">
        <v>42899.681818181816</v>
      </c>
      <c r="L34" s="15">
        <v>127128.84545454546</v>
      </c>
      <c r="M34" s="15">
        <v>42554.399999999994</v>
      </c>
      <c r="N34" s="15">
        <v>169878.37272727271</v>
      </c>
      <c r="O34" s="15">
        <v>18727.8</v>
      </c>
      <c r="P34" s="15">
        <v>539212.71818181814</v>
      </c>
      <c r="Q34" s="15">
        <v>15547.599999999999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C34" s="72"/>
    </row>
    <row r="35" spans="2:29" ht="16.5" thickBot="1" x14ac:dyDescent="0.3">
      <c r="B35" s="27" t="s">
        <v>231</v>
      </c>
      <c r="C35" s="77">
        <v>82977.14</v>
      </c>
      <c r="I35" s="19" t="s">
        <v>50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C35" s="76">
        <f>SUM(P35:AA35)-SUM(P34:AA34)</f>
        <v>-554760.31818181812</v>
      </c>
    </row>
    <row r="36" spans="2:29" ht="15.75" x14ac:dyDescent="0.25">
      <c r="I36" s="12" t="s">
        <v>19</v>
      </c>
      <c r="J36" s="2">
        <f t="shared" ref="J36:U36" si="6">J22+J24+J26+J28+J30+J32+J34</f>
        <v>251817.03636363638</v>
      </c>
      <c r="K36" s="2">
        <f t="shared" si="6"/>
        <v>296088.39727272728</v>
      </c>
      <c r="L36" s="2">
        <f t="shared" si="6"/>
        <v>589753.76818181807</v>
      </c>
      <c r="M36" s="2">
        <f t="shared" si="6"/>
        <v>178687.15636363637</v>
      </c>
      <c r="N36" s="2">
        <f t="shared" si="6"/>
        <v>172707.07272727272</v>
      </c>
      <c r="O36" s="2">
        <f t="shared" si="6"/>
        <v>431387.00909090909</v>
      </c>
      <c r="P36" s="2">
        <f t="shared" si="6"/>
        <v>792844.98636363633</v>
      </c>
      <c r="Q36" s="2">
        <f t="shared" si="6"/>
        <v>356109.6863636364</v>
      </c>
      <c r="R36" s="2">
        <f t="shared" si="6"/>
        <v>0</v>
      </c>
      <c r="S36" s="2">
        <f t="shared" si="6"/>
        <v>0</v>
      </c>
      <c r="T36" s="2">
        <f t="shared" si="6"/>
        <v>0</v>
      </c>
      <c r="U36" s="2">
        <f t="shared" si="6"/>
        <v>0</v>
      </c>
      <c r="V36" s="2">
        <f t="shared" ref="V36:Z36" si="7">V22+V24+V26+V28+V30+V32+V34</f>
        <v>0</v>
      </c>
      <c r="W36" s="2">
        <f t="shared" si="7"/>
        <v>0</v>
      </c>
      <c r="X36" s="2">
        <f t="shared" si="7"/>
        <v>0</v>
      </c>
      <c r="Y36" s="2">
        <f t="shared" si="7"/>
        <v>0</v>
      </c>
      <c r="Z36" s="2">
        <f t="shared" si="7"/>
        <v>0</v>
      </c>
      <c r="AA36" s="2">
        <f t="shared" ref="AA36" si="8">AA22+AA24+AA26+AA28+AA30+AA32+AA34</f>
        <v>0</v>
      </c>
    </row>
    <row r="38" spans="2:29" x14ac:dyDescent="0.25">
      <c r="I38" s="3" t="s">
        <v>21</v>
      </c>
      <c r="J38" s="30">
        <f>J18+J36</f>
        <v>781147.52727272722</v>
      </c>
      <c r="K38" s="30">
        <f t="shared" ref="K38:Z38" si="9">K18+K36</f>
        <v>926377.0836363635</v>
      </c>
      <c r="L38" s="30">
        <f t="shared" si="9"/>
        <v>1368764.2963636364</v>
      </c>
      <c r="M38" s="30">
        <f t="shared" si="9"/>
        <v>1046456.7109090911</v>
      </c>
      <c r="N38" s="30">
        <f t="shared" si="9"/>
        <v>1106767.8145454545</v>
      </c>
      <c r="O38" s="30">
        <f t="shared" si="9"/>
        <v>1510865.2254545456</v>
      </c>
      <c r="P38" s="30">
        <f t="shared" si="9"/>
        <v>1759037.8363636362</v>
      </c>
      <c r="Q38" s="30">
        <f t="shared" si="9"/>
        <v>1261940.4709090909</v>
      </c>
      <c r="R38" s="30">
        <f t="shared" si="9"/>
        <v>0</v>
      </c>
      <c r="S38" s="30">
        <f t="shared" si="9"/>
        <v>0</v>
      </c>
      <c r="T38" s="30">
        <f t="shared" si="9"/>
        <v>0</v>
      </c>
      <c r="U38" s="30">
        <f t="shared" si="9"/>
        <v>0</v>
      </c>
      <c r="V38" s="30">
        <f t="shared" si="9"/>
        <v>0</v>
      </c>
      <c r="W38" s="30">
        <f t="shared" si="9"/>
        <v>0</v>
      </c>
      <c r="X38" s="30">
        <f t="shared" si="9"/>
        <v>0</v>
      </c>
      <c r="Y38" s="30">
        <f t="shared" si="9"/>
        <v>0</v>
      </c>
      <c r="Z38" s="30">
        <f t="shared" si="9"/>
        <v>0</v>
      </c>
      <c r="AA38" s="30">
        <f t="shared" ref="AA38" si="10">AA18+AA36</f>
        <v>0</v>
      </c>
    </row>
  </sheetData>
  <mergeCells count="1">
    <mergeCell ref="B2:F2"/>
  </mergeCells>
  <conditionalFormatting sqref="C27">
    <cfRule type="cellIs" dxfId="13" priority="6" operator="greaterThan">
      <formula>0</formula>
    </cfRule>
  </conditionalFormatting>
  <conditionalFormatting sqref="C31:C32">
    <cfRule type="cellIs" dxfId="12" priority="3" operator="greaterThan">
      <formula>0</formula>
    </cfRule>
    <cfRule type="cellIs" dxfId="11" priority="8" operator="greaterThan">
      <formula>0</formula>
    </cfRule>
    <cfRule type="cellIs" dxfId="10" priority="9" operator="greaterThan">
      <formula>0</formula>
    </cfRule>
  </conditionalFormatting>
  <conditionalFormatting sqref="J4:AA4 J6:AA6 J8:AA8 J10:AA10 J14:AA14 J24:AA24 J26:AA26 J28:AA28 J30:AA30 J32:AA32">
    <cfRule type="expression" dxfId="9" priority="126">
      <formula>J4&lt;J5</formula>
    </cfRule>
    <cfRule type="expression" dxfId="8" priority="127">
      <formula>J4&gt;J5</formula>
    </cfRule>
  </conditionalFormatting>
  <conditionalFormatting sqref="J12:AA12">
    <cfRule type="expression" dxfId="7" priority="16">
      <formula>J12&lt;J13</formula>
    </cfRule>
    <cfRule type="expression" dxfId="6" priority="17">
      <formula>J12&gt;J13</formula>
    </cfRule>
  </conditionalFormatting>
  <conditionalFormatting sqref="J16:AA16">
    <cfRule type="expression" dxfId="5" priority="12">
      <formula>J16&lt;J17</formula>
    </cfRule>
    <cfRule type="expression" dxfId="4" priority="13">
      <formula>J16&gt;J17</formula>
    </cfRule>
  </conditionalFormatting>
  <conditionalFormatting sqref="J22:AA22">
    <cfRule type="expression" dxfId="3" priority="82">
      <formula>J22&lt;J23</formula>
    </cfRule>
    <cfRule type="expression" dxfId="2" priority="83">
      <formula>J22&gt;J23</formula>
    </cfRule>
  </conditionalFormatting>
  <conditionalFormatting sqref="J34:AA34">
    <cfRule type="expression" dxfId="1" priority="70">
      <formula>J34&lt;J35</formula>
    </cfRule>
    <cfRule type="expression" dxfId="0" priority="71">
      <formula>J34&gt;J35</formula>
    </cfRule>
  </conditionalFormatting>
  <pageMargins left="0.70866141732283472" right="0.70866141732283472" top="0.74803149606299213" bottom="0.74803149606299213" header="0.31496062992125984" footer="0.31496062992125984"/>
  <pageSetup paperSize="8" scale="64" orientation="landscape" r:id="rId1"/>
  <ignoredErrors>
    <ignoredError sqref="AC35 AC20:AC33 AC18 AE5:AE6 AE8 AE10 AE12 AE14 AE16 AC16 AC14 AC12 AC10 AC8 AC5:AC6 AC4:AE4 AC7:AE7 AD5:AD6 AC9:AE9 AD8 AC11:AE11 AD10 AC13:AE13 AD12 AC15:AE15 AD14 AC17:AE17 AD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210B-4F7D-41D4-9F72-ECE8FE836A55}">
  <dimension ref="A1"/>
  <sheetViews>
    <sheetView workbookViewId="0">
      <selection activeCell="L24" sqref="L2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C622-56DF-4FE2-8911-48BC792C717C}">
  <sheetPr>
    <pageSetUpPr fitToPage="1"/>
  </sheetPr>
  <dimension ref="B3:J22"/>
  <sheetViews>
    <sheetView workbookViewId="0">
      <selection activeCell="D9" activeCellId="1" sqref="D7 D9"/>
    </sheetView>
  </sheetViews>
  <sheetFormatPr defaultRowHeight="15" x14ac:dyDescent="0.25"/>
  <cols>
    <col min="2" max="2" width="26" bestFit="1" customWidth="1"/>
    <col min="3" max="3" width="11.140625" bestFit="1" customWidth="1"/>
    <col min="4" max="4" width="17.85546875" bestFit="1" customWidth="1"/>
    <col min="6" max="6" width="71.28515625" bestFit="1" customWidth="1"/>
  </cols>
  <sheetData>
    <row r="3" spans="2:10" x14ac:dyDescent="0.25">
      <c r="B3" s="1" t="s">
        <v>58</v>
      </c>
      <c r="C3" s="1" t="s">
        <v>59</v>
      </c>
      <c r="D3" s="1" t="s">
        <v>60</v>
      </c>
      <c r="E3" s="1"/>
      <c r="F3" s="1" t="s">
        <v>93</v>
      </c>
    </row>
    <row r="4" spans="2:10" x14ac:dyDescent="0.25">
      <c r="B4" s="46" t="s">
        <v>61</v>
      </c>
      <c r="C4" s="46" t="s">
        <v>62</v>
      </c>
      <c r="D4" s="82">
        <v>1137.5999999999999</v>
      </c>
      <c r="E4" s="46"/>
      <c r="F4" s="46" t="s">
        <v>63</v>
      </c>
    </row>
    <row r="5" spans="2:10" x14ac:dyDescent="0.25">
      <c r="B5" s="1" t="s">
        <v>64</v>
      </c>
      <c r="C5" s="1"/>
      <c r="D5" s="85">
        <v>1137.5999999999999</v>
      </c>
      <c r="E5" s="1"/>
      <c r="F5" s="1"/>
    </row>
    <row r="6" spans="2:10" x14ac:dyDescent="0.25">
      <c r="B6" s="46" t="s">
        <v>65</v>
      </c>
      <c r="C6" s="46" t="s">
        <v>66</v>
      </c>
      <c r="D6" s="82">
        <v>31240</v>
      </c>
      <c r="E6" s="46"/>
      <c r="F6" s="46" t="s">
        <v>67</v>
      </c>
    </row>
    <row r="7" spans="2:10" x14ac:dyDescent="0.25">
      <c r="B7" s="46" t="s">
        <v>65</v>
      </c>
      <c r="C7" s="46" t="s">
        <v>68</v>
      </c>
      <c r="D7" s="82">
        <v>2977.2</v>
      </c>
      <c r="E7" s="46"/>
      <c r="F7" s="46" t="s">
        <v>69</v>
      </c>
    </row>
    <row r="8" spans="2:10" x14ac:dyDescent="0.25">
      <c r="B8" s="46" t="s">
        <v>65</v>
      </c>
      <c r="C8" s="46" t="s">
        <v>70</v>
      </c>
      <c r="D8" s="82">
        <v>2788.5</v>
      </c>
      <c r="E8" s="46"/>
      <c r="F8" s="46" t="s">
        <v>71</v>
      </c>
    </row>
    <row r="9" spans="2:10" x14ac:dyDescent="0.25">
      <c r="B9" s="46" t="s">
        <v>65</v>
      </c>
      <c r="C9" s="46" t="s">
        <v>72</v>
      </c>
      <c r="D9" s="82">
        <v>6665</v>
      </c>
      <c r="E9" s="46"/>
      <c r="F9" s="46" t="s">
        <v>73</v>
      </c>
    </row>
    <row r="10" spans="2:10" x14ac:dyDescent="0.25">
      <c r="B10" s="1" t="s">
        <v>74</v>
      </c>
      <c r="C10" s="1"/>
      <c r="D10" s="85">
        <v>43670.7</v>
      </c>
      <c r="E10" s="1"/>
      <c r="F10" s="1"/>
    </row>
    <row r="11" spans="2:10" ht="16.5" x14ac:dyDescent="0.3">
      <c r="B11" s="46" t="s">
        <v>75</v>
      </c>
      <c r="C11" s="46" t="s">
        <v>76</v>
      </c>
      <c r="D11" s="82">
        <v>222458.73999999987</v>
      </c>
      <c r="E11" s="46"/>
      <c r="F11" s="84" t="s">
        <v>77</v>
      </c>
    </row>
    <row r="12" spans="2:10" ht="16.5" x14ac:dyDescent="0.3">
      <c r="B12" s="46" t="s">
        <v>75</v>
      </c>
      <c r="C12" s="46" t="s">
        <v>78</v>
      </c>
      <c r="D12" s="82">
        <v>240243.97999999992</v>
      </c>
      <c r="E12" s="46"/>
      <c r="F12" s="84" t="s">
        <v>79</v>
      </c>
    </row>
    <row r="13" spans="2:10" x14ac:dyDescent="0.25">
      <c r="B13" s="46" t="s">
        <v>75</v>
      </c>
      <c r="C13" s="46" t="s">
        <v>80</v>
      </c>
      <c r="D13" s="82">
        <v>29349.3</v>
      </c>
      <c r="E13" s="46"/>
      <c r="F13" s="46" t="s">
        <v>81</v>
      </c>
    </row>
    <row r="14" spans="2:10" x14ac:dyDescent="0.25">
      <c r="B14" s="1" t="s">
        <v>82</v>
      </c>
      <c r="C14" s="1"/>
      <c r="D14" s="85">
        <v>492052.01999999979</v>
      </c>
      <c r="E14" s="1"/>
      <c r="F14" s="1"/>
      <c r="J14" s="87"/>
    </row>
    <row r="15" spans="2:10" ht="16.5" x14ac:dyDescent="0.3">
      <c r="B15" s="46" t="s">
        <v>83</v>
      </c>
      <c r="C15" s="46" t="s">
        <v>84</v>
      </c>
      <c r="D15" s="83">
        <v>37596</v>
      </c>
      <c r="E15" s="46"/>
      <c r="F15" s="84" t="s">
        <v>85</v>
      </c>
    </row>
    <row r="16" spans="2:10" ht="16.5" x14ac:dyDescent="0.3">
      <c r="B16" s="46" t="s">
        <v>83</v>
      </c>
      <c r="C16" s="46" t="s">
        <v>86</v>
      </c>
      <c r="D16" s="83">
        <v>10410.75</v>
      </c>
      <c r="E16" s="46"/>
      <c r="F16" s="84" t="s">
        <v>87</v>
      </c>
    </row>
    <row r="17" spans="2:6" ht="16.5" x14ac:dyDescent="0.3">
      <c r="B17" s="46" t="s">
        <v>83</v>
      </c>
      <c r="C17" s="46" t="s">
        <v>88</v>
      </c>
      <c r="D17" s="83">
        <v>8612.0999999999913</v>
      </c>
      <c r="E17" s="46"/>
      <c r="F17" s="84" t="s">
        <v>89</v>
      </c>
    </row>
    <row r="18" spans="2:6" x14ac:dyDescent="0.25">
      <c r="B18" s="46" t="s">
        <v>83</v>
      </c>
      <c r="C18" s="46" t="s">
        <v>90</v>
      </c>
      <c r="D18" s="83">
        <v>1119</v>
      </c>
      <c r="E18" s="46"/>
      <c r="F18" s="46" t="s">
        <v>91</v>
      </c>
    </row>
    <row r="19" spans="2:6" x14ac:dyDescent="0.25">
      <c r="B19" s="46" t="s">
        <v>92</v>
      </c>
      <c r="C19" s="46"/>
      <c r="D19" s="83">
        <v>57737.849999999991</v>
      </c>
      <c r="E19" s="46"/>
      <c r="F19" s="46"/>
    </row>
    <row r="22" spans="2:6" x14ac:dyDescent="0.25">
      <c r="D22" s="88"/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883B-5865-4BA4-854C-8CBC81C72F39}">
  <dimension ref="A2:R62"/>
  <sheetViews>
    <sheetView workbookViewId="0">
      <pane ySplit="2" topLeftCell="A3" activePane="bottomLeft" state="frozen"/>
      <selection activeCell="D9" activeCellId="1" sqref="D7 D9"/>
      <selection pane="bottomLeft" activeCell="D9" activeCellId="1" sqref="D7 D9"/>
    </sheetView>
  </sheetViews>
  <sheetFormatPr defaultRowHeight="15" x14ac:dyDescent="0.25"/>
  <cols>
    <col min="1" max="1" width="6.7109375" bestFit="1" customWidth="1"/>
    <col min="2" max="2" width="18.42578125" bestFit="1" customWidth="1"/>
    <col min="3" max="3" width="23.7109375" bestFit="1" customWidth="1"/>
    <col min="4" max="4" width="11.28515625" bestFit="1" customWidth="1"/>
    <col min="5" max="5" width="18.5703125" bestFit="1" customWidth="1"/>
    <col min="6" max="6" width="17" bestFit="1" customWidth="1"/>
    <col min="7" max="7" width="24.5703125" bestFit="1" customWidth="1"/>
    <col min="8" max="8" width="20.85546875" bestFit="1" customWidth="1"/>
    <col min="9" max="9" width="29.7109375" bestFit="1" customWidth="1"/>
    <col min="10" max="10" width="43.42578125" bestFit="1" customWidth="1"/>
    <col min="11" max="11" width="9.5703125" bestFit="1" customWidth="1"/>
    <col min="12" max="12" width="12" bestFit="1" customWidth="1"/>
    <col min="13" max="13" width="13.140625" bestFit="1" customWidth="1"/>
    <col min="14" max="14" width="14.28515625" bestFit="1" customWidth="1"/>
    <col min="15" max="15" width="9.7109375" bestFit="1" customWidth="1"/>
    <col min="16" max="16" width="14" bestFit="1" customWidth="1"/>
    <col min="17" max="17" width="15" bestFit="1" customWidth="1"/>
    <col min="18" max="18" width="11.28515625" bestFit="1" customWidth="1"/>
  </cols>
  <sheetData>
    <row r="2" spans="1:18" x14ac:dyDescent="0.25">
      <c r="A2" s="89" t="s">
        <v>94</v>
      </c>
      <c r="B2" s="89" t="s">
        <v>95</v>
      </c>
      <c r="C2" s="89" t="s">
        <v>96</v>
      </c>
      <c r="D2" s="89" t="s">
        <v>59</v>
      </c>
      <c r="E2" s="89" t="s">
        <v>97</v>
      </c>
      <c r="F2" s="90" t="s">
        <v>98</v>
      </c>
      <c r="G2" s="89" t="s">
        <v>99</v>
      </c>
      <c r="H2" s="89" t="s">
        <v>58</v>
      </c>
      <c r="I2" s="89" t="s">
        <v>100</v>
      </c>
      <c r="J2" s="89" t="s">
        <v>101</v>
      </c>
      <c r="K2" s="89" t="s">
        <v>102</v>
      </c>
      <c r="L2" s="91" t="s">
        <v>103</v>
      </c>
      <c r="M2" s="91" t="s">
        <v>104</v>
      </c>
      <c r="N2" s="91" t="s">
        <v>105</v>
      </c>
      <c r="O2" s="89" t="s">
        <v>106</v>
      </c>
      <c r="P2" s="89" t="s">
        <v>107</v>
      </c>
      <c r="Q2" s="89" t="s">
        <v>108</v>
      </c>
      <c r="R2" s="89" t="s">
        <v>109</v>
      </c>
    </row>
    <row r="3" spans="1:18" x14ac:dyDescent="0.25">
      <c r="A3" s="92">
        <v>46174</v>
      </c>
      <c r="B3" s="5" t="s">
        <v>110</v>
      </c>
      <c r="C3" s="5">
        <v>9196</v>
      </c>
      <c r="D3" s="5" t="s">
        <v>78</v>
      </c>
      <c r="E3" s="5" t="s">
        <v>78</v>
      </c>
      <c r="F3" s="93" t="s">
        <v>111</v>
      </c>
      <c r="G3" s="5" t="s">
        <v>112</v>
      </c>
      <c r="H3" s="93" t="s">
        <v>75</v>
      </c>
      <c r="I3" s="93" t="s">
        <v>113</v>
      </c>
      <c r="J3" s="93" t="s">
        <v>114</v>
      </c>
      <c r="K3" s="5" t="s">
        <v>115</v>
      </c>
      <c r="L3" s="5">
        <v>4310</v>
      </c>
      <c r="M3" s="5">
        <v>0</v>
      </c>
      <c r="N3" s="5">
        <v>4310</v>
      </c>
      <c r="O3" s="5">
        <v>15.48</v>
      </c>
      <c r="P3" s="5">
        <v>66718.8</v>
      </c>
      <c r="Q3" s="5">
        <v>0</v>
      </c>
      <c r="R3" s="5">
        <v>66718.8</v>
      </c>
    </row>
    <row r="4" spans="1:18" x14ac:dyDescent="0.25">
      <c r="A4" s="92">
        <v>46174</v>
      </c>
      <c r="B4" s="5" t="s">
        <v>110</v>
      </c>
      <c r="C4" s="5">
        <v>9196</v>
      </c>
      <c r="D4" s="5" t="s">
        <v>78</v>
      </c>
      <c r="E4" s="5" t="s">
        <v>78</v>
      </c>
      <c r="F4" s="93" t="s">
        <v>111</v>
      </c>
      <c r="G4" s="5" t="s">
        <v>112</v>
      </c>
      <c r="H4" s="93" t="s">
        <v>75</v>
      </c>
      <c r="I4" s="93" t="s">
        <v>113</v>
      </c>
      <c r="J4" s="93" t="s">
        <v>116</v>
      </c>
      <c r="K4" s="5" t="s">
        <v>117</v>
      </c>
      <c r="L4" s="5">
        <v>900</v>
      </c>
      <c r="M4" s="5">
        <v>0</v>
      </c>
      <c r="N4" s="5">
        <v>900</v>
      </c>
      <c r="O4" s="5">
        <v>0.51</v>
      </c>
      <c r="P4" s="5">
        <v>459</v>
      </c>
      <c r="Q4" s="5">
        <v>0</v>
      </c>
      <c r="R4" s="5">
        <v>459</v>
      </c>
    </row>
    <row r="5" spans="1:18" x14ac:dyDescent="0.25">
      <c r="A5" s="92">
        <v>46174</v>
      </c>
      <c r="B5" s="5" t="s">
        <v>110</v>
      </c>
      <c r="C5" s="5">
        <v>9196</v>
      </c>
      <c r="D5" s="5" t="s">
        <v>78</v>
      </c>
      <c r="E5" s="5" t="s">
        <v>78</v>
      </c>
      <c r="F5" s="93" t="s">
        <v>111</v>
      </c>
      <c r="G5" s="5" t="s">
        <v>112</v>
      </c>
      <c r="H5" s="93" t="s">
        <v>75</v>
      </c>
      <c r="I5" s="93" t="s">
        <v>113</v>
      </c>
      <c r="J5" s="93" t="s">
        <v>118</v>
      </c>
      <c r="K5" s="5" t="s">
        <v>119</v>
      </c>
      <c r="L5" s="5">
        <v>900</v>
      </c>
      <c r="M5" s="5">
        <v>0</v>
      </c>
      <c r="N5" s="5">
        <v>900</v>
      </c>
      <c r="O5" s="5">
        <v>0.48</v>
      </c>
      <c r="P5" s="5">
        <v>432</v>
      </c>
      <c r="Q5" s="5">
        <v>0</v>
      </c>
      <c r="R5" s="5">
        <v>432</v>
      </c>
    </row>
    <row r="6" spans="1:18" x14ac:dyDescent="0.25">
      <c r="A6" s="92">
        <v>46174</v>
      </c>
      <c r="B6" s="5" t="s">
        <v>110</v>
      </c>
      <c r="C6" s="5">
        <v>9196</v>
      </c>
      <c r="D6" s="5" t="s">
        <v>78</v>
      </c>
      <c r="E6" s="5" t="s">
        <v>78</v>
      </c>
      <c r="F6" s="93" t="s">
        <v>111</v>
      </c>
      <c r="G6" s="5" t="s">
        <v>112</v>
      </c>
      <c r="H6" s="93" t="s">
        <v>75</v>
      </c>
      <c r="I6" s="93" t="s">
        <v>113</v>
      </c>
      <c r="J6" s="93" t="s">
        <v>120</v>
      </c>
      <c r="K6" s="5" t="s">
        <v>121</v>
      </c>
      <c r="L6" s="5">
        <v>60</v>
      </c>
      <c r="M6" s="5">
        <v>0</v>
      </c>
      <c r="N6" s="5">
        <v>60</v>
      </c>
      <c r="O6" s="5">
        <v>11.85</v>
      </c>
      <c r="P6" s="5">
        <v>711</v>
      </c>
      <c r="Q6" s="5">
        <v>0</v>
      </c>
      <c r="R6" s="5">
        <v>711</v>
      </c>
    </row>
    <row r="7" spans="1:18" x14ac:dyDescent="0.25">
      <c r="A7" s="92">
        <v>46174</v>
      </c>
      <c r="B7" s="5" t="s">
        <v>110</v>
      </c>
      <c r="C7" s="5">
        <v>9196</v>
      </c>
      <c r="D7" s="5" t="s">
        <v>78</v>
      </c>
      <c r="E7" s="5" t="s">
        <v>78</v>
      </c>
      <c r="F7" s="93" t="s">
        <v>111</v>
      </c>
      <c r="G7" s="5" t="s">
        <v>112</v>
      </c>
      <c r="H7" s="93" t="s">
        <v>75</v>
      </c>
      <c r="I7" s="93" t="s">
        <v>113</v>
      </c>
      <c r="J7" s="93" t="s">
        <v>122</v>
      </c>
      <c r="K7" s="5" t="s">
        <v>123</v>
      </c>
      <c r="L7" s="5">
        <v>2160</v>
      </c>
      <c r="M7" s="5">
        <v>0</v>
      </c>
      <c r="N7" s="5">
        <v>2160</v>
      </c>
      <c r="O7" s="5">
        <v>9.83</v>
      </c>
      <c r="P7" s="5">
        <v>21232.799999999999</v>
      </c>
      <c r="Q7" s="5">
        <v>0</v>
      </c>
      <c r="R7" s="5">
        <v>21232.799999999999</v>
      </c>
    </row>
    <row r="8" spans="1:18" x14ac:dyDescent="0.25">
      <c r="A8" s="92">
        <v>46174</v>
      </c>
      <c r="B8" s="5" t="s">
        <v>110</v>
      </c>
      <c r="C8" s="5">
        <v>9196</v>
      </c>
      <c r="D8" s="5" t="s">
        <v>78</v>
      </c>
      <c r="E8" s="5" t="s">
        <v>78</v>
      </c>
      <c r="F8" s="93" t="s">
        <v>111</v>
      </c>
      <c r="G8" s="5" t="s">
        <v>112</v>
      </c>
      <c r="H8" s="93" t="s">
        <v>75</v>
      </c>
      <c r="I8" s="93" t="s">
        <v>113</v>
      </c>
      <c r="J8" s="93" t="s">
        <v>124</v>
      </c>
      <c r="K8" s="5" t="s">
        <v>125</v>
      </c>
      <c r="L8" s="5">
        <v>70</v>
      </c>
      <c r="M8" s="5">
        <v>0</v>
      </c>
      <c r="N8" s="5">
        <v>70</v>
      </c>
      <c r="O8" s="5">
        <v>8.16</v>
      </c>
      <c r="P8" s="5">
        <v>571.20000000000005</v>
      </c>
      <c r="Q8" s="5">
        <v>0</v>
      </c>
      <c r="R8" s="5">
        <v>571.20000000000005</v>
      </c>
    </row>
    <row r="9" spans="1:18" x14ac:dyDescent="0.25">
      <c r="A9" s="92">
        <v>46174</v>
      </c>
      <c r="B9" s="5" t="s">
        <v>110</v>
      </c>
      <c r="C9" s="5">
        <v>9196</v>
      </c>
      <c r="D9" s="5" t="s">
        <v>78</v>
      </c>
      <c r="E9" s="5" t="s">
        <v>78</v>
      </c>
      <c r="F9" s="93" t="s">
        <v>111</v>
      </c>
      <c r="G9" s="5" t="s">
        <v>112</v>
      </c>
      <c r="H9" s="93" t="s">
        <v>75</v>
      </c>
      <c r="I9" s="93" t="s">
        <v>113</v>
      </c>
      <c r="J9" s="93" t="s">
        <v>126</v>
      </c>
      <c r="K9" s="5" t="s">
        <v>127</v>
      </c>
      <c r="L9" s="5">
        <v>70</v>
      </c>
      <c r="M9" s="5">
        <v>0</v>
      </c>
      <c r="N9" s="5">
        <v>70</v>
      </c>
      <c r="O9" s="5">
        <v>5.58</v>
      </c>
      <c r="P9" s="5">
        <v>390.6</v>
      </c>
      <c r="Q9" s="5">
        <v>0</v>
      </c>
      <c r="R9" s="5">
        <v>390.6</v>
      </c>
    </row>
    <row r="10" spans="1:18" x14ac:dyDescent="0.25">
      <c r="A10" s="92">
        <v>46174</v>
      </c>
      <c r="B10" s="5" t="s">
        <v>110</v>
      </c>
      <c r="C10" s="5">
        <v>9196</v>
      </c>
      <c r="D10" s="5" t="s">
        <v>78</v>
      </c>
      <c r="E10" s="5" t="s">
        <v>78</v>
      </c>
      <c r="F10" s="93" t="s">
        <v>111</v>
      </c>
      <c r="G10" s="5" t="s">
        <v>112</v>
      </c>
      <c r="H10" s="93" t="s">
        <v>75</v>
      </c>
      <c r="I10" s="93" t="s">
        <v>113</v>
      </c>
      <c r="J10" s="93" t="s">
        <v>128</v>
      </c>
      <c r="K10" s="5" t="s">
        <v>129</v>
      </c>
      <c r="L10" s="5">
        <v>100</v>
      </c>
      <c r="M10" s="5">
        <v>0</v>
      </c>
      <c r="N10" s="5">
        <v>100</v>
      </c>
      <c r="O10" s="5">
        <v>3.86</v>
      </c>
      <c r="P10" s="5">
        <v>386</v>
      </c>
      <c r="Q10" s="5">
        <v>0</v>
      </c>
      <c r="R10" s="5">
        <v>386</v>
      </c>
    </row>
    <row r="11" spans="1:18" x14ac:dyDescent="0.25">
      <c r="A11" s="92">
        <v>46174</v>
      </c>
      <c r="B11" s="5" t="s">
        <v>110</v>
      </c>
      <c r="C11" s="5">
        <v>9196</v>
      </c>
      <c r="D11" s="5" t="s">
        <v>78</v>
      </c>
      <c r="E11" s="5" t="s">
        <v>78</v>
      </c>
      <c r="F11" s="93" t="s">
        <v>111</v>
      </c>
      <c r="G11" s="5" t="s">
        <v>112</v>
      </c>
      <c r="H11" s="93" t="s">
        <v>75</v>
      </c>
      <c r="I11" s="93" t="s">
        <v>113</v>
      </c>
      <c r="J11" s="93" t="s">
        <v>130</v>
      </c>
      <c r="K11" s="5" t="s">
        <v>131</v>
      </c>
      <c r="L11" s="5">
        <v>2450</v>
      </c>
      <c r="M11" s="5">
        <v>0</v>
      </c>
      <c r="N11" s="5">
        <v>2450</v>
      </c>
      <c r="O11" s="5">
        <v>5.78</v>
      </c>
      <c r="P11" s="5">
        <v>14161</v>
      </c>
      <c r="Q11" s="5">
        <v>0</v>
      </c>
      <c r="R11" s="5">
        <v>14161</v>
      </c>
    </row>
    <row r="12" spans="1:18" x14ac:dyDescent="0.25">
      <c r="A12" s="92">
        <v>46174</v>
      </c>
      <c r="B12" s="5" t="s">
        <v>110</v>
      </c>
      <c r="C12" s="5">
        <v>9196</v>
      </c>
      <c r="D12" s="5" t="s">
        <v>78</v>
      </c>
      <c r="E12" s="5" t="s">
        <v>78</v>
      </c>
      <c r="F12" s="93" t="s">
        <v>111</v>
      </c>
      <c r="G12" s="5" t="s">
        <v>112</v>
      </c>
      <c r="H12" s="93" t="s">
        <v>75</v>
      </c>
      <c r="I12" s="93" t="s">
        <v>113</v>
      </c>
      <c r="J12" s="93" t="s">
        <v>132</v>
      </c>
      <c r="K12" s="5" t="s">
        <v>133</v>
      </c>
      <c r="L12" s="5">
        <v>70</v>
      </c>
      <c r="M12" s="5">
        <v>0</v>
      </c>
      <c r="N12" s="5">
        <v>70</v>
      </c>
      <c r="O12" s="5">
        <v>5.78</v>
      </c>
      <c r="P12" s="5">
        <v>404.6</v>
      </c>
      <c r="Q12" s="5">
        <v>0</v>
      </c>
      <c r="R12" s="5">
        <v>404.6</v>
      </c>
    </row>
    <row r="13" spans="1:18" x14ac:dyDescent="0.25">
      <c r="A13" s="92">
        <v>46174</v>
      </c>
      <c r="B13" s="5" t="s">
        <v>110</v>
      </c>
      <c r="C13" s="5">
        <v>9196</v>
      </c>
      <c r="D13" s="5" t="s">
        <v>78</v>
      </c>
      <c r="E13" s="5" t="s">
        <v>78</v>
      </c>
      <c r="F13" s="93" t="s">
        <v>111</v>
      </c>
      <c r="G13" s="5" t="s">
        <v>112</v>
      </c>
      <c r="H13" s="93" t="s">
        <v>75</v>
      </c>
      <c r="I13" s="93" t="s">
        <v>113</v>
      </c>
      <c r="J13" s="93" t="s">
        <v>134</v>
      </c>
      <c r="K13" s="5" t="s">
        <v>135</v>
      </c>
      <c r="L13" s="5">
        <v>80</v>
      </c>
      <c r="M13" s="5">
        <v>0</v>
      </c>
      <c r="N13" s="5">
        <v>80</v>
      </c>
      <c r="O13" s="5">
        <v>6.66</v>
      </c>
      <c r="P13" s="5">
        <v>532.79999999999995</v>
      </c>
      <c r="Q13" s="5">
        <v>0</v>
      </c>
      <c r="R13" s="5">
        <v>532.79999999999995</v>
      </c>
    </row>
    <row r="14" spans="1:18" x14ac:dyDescent="0.25">
      <c r="A14" s="92">
        <v>46174</v>
      </c>
      <c r="B14" s="5" t="s">
        <v>110</v>
      </c>
      <c r="C14" s="5">
        <v>9196</v>
      </c>
      <c r="D14" s="5" t="s">
        <v>78</v>
      </c>
      <c r="E14" s="5" t="s">
        <v>78</v>
      </c>
      <c r="F14" s="93" t="s">
        <v>111</v>
      </c>
      <c r="G14" s="5" t="s">
        <v>112</v>
      </c>
      <c r="H14" s="93" t="s">
        <v>75</v>
      </c>
      <c r="I14" s="93" t="s">
        <v>113</v>
      </c>
      <c r="J14" s="93" t="s">
        <v>136</v>
      </c>
      <c r="K14" s="5" t="s">
        <v>137</v>
      </c>
      <c r="L14" s="5">
        <v>2988</v>
      </c>
      <c r="M14" s="5">
        <v>0</v>
      </c>
      <c r="N14" s="5">
        <v>2988</v>
      </c>
      <c r="O14" s="5">
        <v>12.29</v>
      </c>
      <c r="P14" s="5">
        <v>36722.519999999997</v>
      </c>
      <c r="Q14" s="5">
        <v>0</v>
      </c>
      <c r="R14" s="5">
        <v>36722.519999999997</v>
      </c>
    </row>
    <row r="15" spans="1:18" x14ac:dyDescent="0.25">
      <c r="A15" s="92">
        <v>46174</v>
      </c>
      <c r="B15" s="5" t="s">
        <v>110</v>
      </c>
      <c r="C15" s="5">
        <v>9196</v>
      </c>
      <c r="D15" s="5" t="s">
        <v>78</v>
      </c>
      <c r="E15" s="5" t="s">
        <v>78</v>
      </c>
      <c r="F15" s="93" t="s">
        <v>111</v>
      </c>
      <c r="G15" s="5" t="s">
        <v>112</v>
      </c>
      <c r="H15" s="93" t="s">
        <v>75</v>
      </c>
      <c r="I15" s="93" t="s">
        <v>113</v>
      </c>
      <c r="J15" s="93" t="s">
        <v>138</v>
      </c>
      <c r="K15" s="5" t="s">
        <v>139</v>
      </c>
      <c r="L15" s="5">
        <v>2610</v>
      </c>
      <c r="M15" s="5">
        <v>0</v>
      </c>
      <c r="N15" s="5">
        <v>2610</v>
      </c>
      <c r="O15" s="5">
        <v>10.14</v>
      </c>
      <c r="P15" s="5">
        <v>26465.4</v>
      </c>
      <c r="Q15" s="5">
        <v>0</v>
      </c>
      <c r="R15" s="5">
        <v>26465.4</v>
      </c>
    </row>
    <row r="16" spans="1:18" x14ac:dyDescent="0.25">
      <c r="A16" s="92">
        <v>46174</v>
      </c>
      <c r="B16" s="5" t="s">
        <v>110</v>
      </c>
      <c r="C16" s="5">
        <v>9196</v>
      </c>
      <c r="D16" s="5" t="s">
        <v>78</v>
      </c>
      <c r="E16" s="5" t="s">
        <v>78</v>
      </c>
      <c r="F16" s="93" t="s">
        <v>111</v>
      </c>
      <c r="G16" s="5" t="s">
        <v>112</v>
      </c>
      <c r="H16" s="93" t="s">
        <v>75</v>
      </c>
      <c r="I16" s="93" t="s">
        <v>113</v>
      </c>
      <c r="J16" s="93" t="s">
        <v>140</v>
      </c>
      <c r="K16" s="5" t="s">
        <v>141</v>
      </c>
      <c r="L16" s="5">
        <v>1100</v>
      </c>
      <c r="M16" s="5">
        <v>0</v>
      </c>
      <c r="N16" s="5">
        <v>1100</v>
      </c>
      <c r="O16" s="5">
        <v>7.96</v>
      </c>
      <c r="P16" s="5">
        <v>8756</v>
      </c>
      <c r="Q16" s="5">
        <v>0</v>
      </c>
      <c r="R16" s="5">
        <v>8756</v>
      </c>
    </row>
    <row r="17" spans="1:18" x14ac:dyDescent="0.25">
      <c r="A17" s="92">
        <v>46174</v>
      </c>
      <c r="B17" s="5" t="s">
        <v>110</v>
      </c>
      <c r="C17" s="5">
        <v>9196</v>
      </c>
      <c r="D17" s="5" t="s">
        <v>78</v>
      </c>
      <c r="E17" s="5" t="s">
        <v>78</v>
      </c>
      <c r="F17" s="93" t="s">
        <v>111</v>
      </c>
      <c r="G17" s="5" t="s">
        <v>112</v>
      </c>
      <c r="H17" s="93" t="s">
        <v>75</v>
      </c>
      <c r="I17" s="93" t="s">
        <v>113</v>
      </c>
      <c r="J17" s="93" t="s">
        <v>142</v>
      </c>
      <c r="K17" s="5" t="s">
        <v>143</v>
      </c>
      <c r="L17" s="5">
        <v>2184</v>
      </c>
      <c r="M17" s="5">
        <v>0</v>
      </c>
      <c r="N17" s="5">
        <v>2184</v>
      </c>
      <c r="O17" s="5">
        <v>9.0399999999999991</v>
      </c>
      <c r="P17" s="94">
        <v>19743.359999999899</v>
      </c>
      <c r="Q17" s="5">
        <v>0</v>
      </c>
      <c r="R17" s="94">
        <v>19743.359999999899</v>
      </c>
    </row>
    <row r="18" spans="1:18" x14ac:dyDescent="0.25">
      <c r="A18" s="92">
        <v>46174</v>
      </c>
      <c r="B18" s="5" t="s">
        <v>110</v>
      </c>
      <c r="C18" s="5">
        <v>9196</v>
      </c>
      <c r="D18" s="5" t="s">
        <v>78</v>
      </c>
      <c r="E18" s="5" t="s">
        <v>78</v>
      </c>
      <c r="F18" s="93" t="s">
        <v>111</v>
      </c>
      <c r="G18" s="5" t="s">
        <v>112</v>
      </c>
      <c r="H18" s="93" t="s">
        <v>75</v>
      </c>
      <c r="I18" s="93" t="s">
        <v>113</v>
      </c>
      <c r="J18" s="93" t="s">
        <v>144</v>
      </c>
      <c r="K18" s="5" t="s">
        <v>145</v>
      </c>
      <c r="L18" s="5">
        <v>160</v>
      </c>
      <c r="M18" s="5">
        <v>0</v>
      </c>
      <c r="N18" s="5">
        <v>160</v>
      </c>
      <c r="O18" s="5">
        <v>9.32</v>
      </c>
      <c r="P18" s="5">
        <v>1491.2</v>
      </c>
      <c r="Q18" s="5">
        <v>0</v>
      </c>
      <c r="R18" s="5">
        <v>1491.2</v>
      </c>
    </row>
    <row r="19" spans="1:18" x14ac:dyDescent="0.25">
      <c r="A19" s="92">
        <v>46174</v>
      </c>
      <c r="B19" s="5" t="s">
        <v>110</v>
      </c>
      <c r="C19" s="5">
        <v>9196</v>
      </c>
      <c r="D19" s="5" t="s">
        <v>78</v>
      </c>
      <c r="E19" s="5" t="s">
        <v>78</v>
      </c>
      <c r="F19" s="93" t="s">
        <v>111</v>
      </c>
      <c r="G19" s="5" t="s">
        <v>112</v>
      </c>
      <c r="H19" s="93" t="s">
        <v>75</v>
      </c>
      <c r="I19" s="93" t="s">
        <v>113</v>
      </c>
      <c r="J19" s="93" t="s">
        <v>146</v>
      </c>
      <c r="K19" s="5" t="s">
        <v>147</v>
      </c>
      <c r="L19" s="5">
        <v>60</v>
      </c>
      <c r="M19" s="5">
        <v>0</v>
      </c>
      <c r="N19" s="5">
        <v>60</v>
      </c>
      <c r="O19" s="5">
        <v>10.52</v>
      </c>
      <c r="P19" s="94">
        <v>631.19999999999902</v>
      </c>
      <c r="Q19" s="5">
        <v>0</v>
      </c>
      <c r="R19" s="94">
        <v>631.19999999999902</v>
      </c>
    </row>
    <row r="20" spans="1:18" x14ac:dyDescent="0.25">
      <c r="A20" s="92">
        <v>46174</v>
      </c>
      <c r="B20" s="5" t="s">
        <v>110</v>
      </c>
      <c r="C20" s="5">
        <v>9196</v>
      </c>
      <c r="D20" s="5" t="s">
        <v>78</v>
      </c>
      <c r="E20" s="5" t="s">
        <v>78</v>
      </c>
      <c r="F20" s="93" t="s">
        <v>111</v>
      </c>
      <c r="G20" s="5" t="s">
        <v>112</v>
      </c>
      <c r="H20" s="93" t="s">
        <v>75</v>
      </c>
      <c r="I20" s="93" t="s">
        <v>113</v>
      </c>
      <c r="J20" s="93" t="s">
        <v>148</v>
      </c>
      <c r="K20" s="5" t="s">
        <v>149</v>
      </c>
      <c r="L20" s="5">
        <v>30</v>
      </c>
      <c r="M20" s="5">
        <v>0</v>
      </c>
      <c r="N20" s="5">
        <v>30</v>
      </c>
      <c r="O20" s="5">
        <v>12.39</v>
      </c>
      <c r="P20" s="94">
        <v>371.7</v>
      </c>
      <c r="Q20" s="5">
        <v>0</v>
      </c>
      <c r="R20" s="94">
        <v>371.7</v>
      </c>
    </row>
    <row r="21" spans="1:18" x14ac:dyDescent="0.25">
      <c r="A21" s="92">
        <v>46174</v>
      </c>
      <c r="B21" s="5" t="s">
        <v>110</v>
      </c>
      <c r="C21" s="5">
        <v>9196</v>
      </c>
      <c r="D21" s="5" t="s">
        <v>78</v>
      </c>
      <c r="E21" s="5" t="s">
        <v>78</v>
      </c>
      <c r="F21" s="93" t="s">
        <v>111</v>
      </c>
      <c r="G21" s="5" t="s">
        <v>112</v>
      </c>
      <c r="H21" s="93" t="s">
        <v>75</v>
      </c>
      <c r="I21" s="93" t="s">
        <v>113</v>
      </c>
      <c r="J21" s="93" t="s">
        <v>150</v>
      </c>
      <c r="K21" s="5" t="s">
        <v>151</v>
      </c>
      <c r="L21" s="5">
        <v>270</v>
      </c>
      <c r="M21" s="5">
        <v>0</v>
      </c>
      <c r="N21" s="5">
        <v>270</v>
      </c>
      <c r="O21" s="5">
        <v>9.86</v>
      </c>
      <c r="P21" s="5">
        <v>2662.2</v>
      </c>
      <c r="Q21" s="5">
        <v>0</v>
      </c>
      <c r="R21" s="5">
        <v>2662.2</v>
      </c>
    </row>
    <row r="22" spans="1:18" x14ac:dyDescent="0.25">
      <c r="A22" s="92">
        <v>46174</v>
      </c>
      <c r="B22" s="5" t="s">
        <v>110</v>
      </c>
      <c r="C22" s="5">
        <v>9196</v>
      </c>
      <c r="D22" s="5" t="s">
        <v>78</v>
      </c>
      <c r="E22" s="5" t="s">
        <v>78</v>
      </c>
      <c r="F22" s="93" t="s">
        <v>111</v>
      </c>
      <c r="G22" s="5" t="s">
        <v>112</v>
      </c>
      <c r="H22" s="93" t="s">
        <v>75</v>
      </c>
      <c r="I22" s="93" t="s">
        <v>113</v>
      </c>
      <c r="J22" s="93" t="s">
        <v>152</v>
      </c>
      <c r="K22" s="5" t="s">
        <v>153</v>
      </c>
      <c r="L22" s="5">
        <v>240</v>
      </c>
      <c r="M22" s="5">
        <v>0</v>
      </c>
      <c r="N22" s="5">
        <v>240</v>
      </c>
      <c r="O22" s="5">
        <v>8.99</v>
      </c>
      <c r="P22" s="5">
        <v>2157.6</v>
      </c>
      <c r="Q22" s="5">
        <v>0</v>
      </c>
      <c r="R22" s="5">
        <v>2157.6</v>
      </c>
    </row>
    <row r="23" spans="1:18" x14ac:dyDescent="0.25">
      <c r="A23" s="92">
        <v>46174</v>
      </c>
      <c r="B23" s="5" t="s">
        <v>110</v>
      </c>
      <c r="C23" s="5">
        <v>9196</v>
      </c>
      <c r="D23" s="5" t="s">
        <v>78</v>
      </c>
      <c r="E23" s="5" t="s">
        <v>78</v>
      </c>
      <c r="F23" s="93" t="s">
        <v>111</v>
      </c>
      <c r="G23" s="5" t="s">
        <v>112</v>
      </c>
      <c r="H23" s="93" t="s">
        <v>75</v>
      </c>
      <c r="I23" s="93" t="s">
        <v>113</v>
      </c>
      <c r="J23" s="93" t="s">
        <v>154</v>
      </c>
      <c r="K23" s="5" t="s">
        <v>155</v>
      </c>
      <c r="L23" s="5">
        <v>210</v>
      </c>
      <c r="M23" s="5">
        <v>0</v>
      </c>
      <c r="N23" s="5">
        <v>210</v>
      </c>
      <c r="O23" s="5">
        <v>8.8800000000000008</v>
      </c>
      <c r="P23" s="94">
        <v>1864.8</v>
      </c>
      <c r="Q23" s="5">
        <v>0</v>
      </c>
      <c r="R23" s="94">
        <v>1864.8</v>
      </c>
    </row>
    <row r="24" spans="1:18" x14ac:dyDescent="0.25">
      <c r="A24" s="92">
        <v>46174</v>
      </c>
      <c r="B24" s="5" t="s">
        <v>110</v>
      </c>
      <c r="C24" s="5">
        <v>9196</v>
      </c>
      <c r="D24" s="5" t="s">
        <v>78</v>
      </c>
      <c r="E24" s="5" t="s">
        <v>78</v>
      </c>
      <c r="F24" s="93" t="s">
        <v>111</v>
      </c>
      <c r="G24" s="5" t="s">
        <v>112</v>
      </c>
      <c r="H24" s="93" t="s">
        <v>75</v>
      </c>
      <c r="I24" s="93" t="s">
        <v>113</v>
      </c>
      <c r="J24" s="93" t="s">
        <v>156</v>
      </c>
      <c r="K24" s="5" t="s">
        <v>157</v>
      </c>
      <c r="L24" s="5">
        <v>180</v>
      </c>
      <c r="M24" s="5">
        <v>0</v>
      </c>
      <c r="N24" s="5">
        <v>180</v>
      </c>
      <c r="O24" s="5">
        <v>10.43</v>
      </c>
      <c r="P24" s="94">
        <v>1877.3999999999901</v>
      </c>
      <c r="Q24" s="5">
        <v>0</v>
      </c>
      <c r="R24" s="94">
        <v>1877.3999999999901</v>
      </c>
    </row>
    <row r="25" spans="1:18" x14ac:dyDescent="0.25">
      <c r="A25" s="92">
        <v>46174</v>
      </c>
      <c r="B25" s="5" t="s">
        <v>110</v>
      </c>
      <c r="C25" s="5">
        <v>9196</v>
      </c>
      <c r="D25" s="5" t="s">
        <v>78</v>
      </c>
      <c r="E25" s="5" t="s">
        <v>78</v>
      </c>
      <c r="F25" s="93" t="s">
        <v>111</v>
      </c>
      <c r="G25" s="5" t="s">
        <v>112</v>
      </c>
      <c r="H25" s="93" t="s">
        <v>75</v>
      </c>
      <c r="I25" s="93" t="s">
        <v>113</v>
      </c>
      <c r="J25" s="93" t="s">
        <v>158</v>
      </c>
      <c r="K25" s="5" t="s">
        <v>159</v>
      </c>
      <c r="L25" s="5">
        <v>60</v>
      </c>
      <c r="M25" s="5">
        <v>0</v>
      </c>
      <c r="N25" s="5">
        <v>60</v>
      </c>
      <c r="O25" s="5">
        <v>11.04</v>
      </c>
      <c r="P25" s="5">
        <v>662.4</v>
      </c>
      <c r="Q25" s="5">
        <v>0</v>
      </c>
      <c r="R25" s="5">
        <v>662.4</v>
      </c>
    </row>
    <row r="26" spans="1:18" x14ac:dyDescent="0.25">
      <c r="A26" s="92">
        <v>46174</v>
      </c>
      <c r="B26" s="5" t="s">
        <v>110</v>
      </c>
      <c r="C26" s="5">
        <v>9196</v>
      </c>
      <c r="D26" s="5" t="s">
        <v>78</v>
      </c>
      <c r="E26" s="5" t="s">
        <v>78</v>
      </c>
      <c r="F26" s="93" t="s">
        <v>111</v>
      </c>
      <c r="G26" s="5" t="s">
        <v>112</v>
      </c>
      <c r="H26" s="93" t="s">
        <v>75</v>
      </c>
      <c r="I26" s="93" t="s">
        <v>113</v>
      </c>
      <c r="J26" s="93" t="s">
        <v>160</v>
      </c>
      <c r="K26" s="5" t="s">
        <v>161</v>
      </c>
      <c r="L26" s="5">
        <v>30</v>
      </c>
      <c r="M26" s="5">
        <v>0</v>
      </c>
      <c r="N26" s="5">
        <v>30</v>
      </c>
      <c r="O26" s="5">
        <v>11.32</v>
      </c>
      <c r="P26" s="5">
        <v>339.6</v>
      </c>
      <c r="Q26" s="5">
        <v>0</v>
      </c>
      <c r="R26" s="5">
        <v>339.6</v>
      </c>
    </row>
    <row r="27" spans="1:18" x14ac:dyDescent="0.25">
      <c r="A27" s="92">
        <v>46174</v>
      </c>
      <c r="B27" s="5" t="s">
        <v>110</v>
      </c>
      <c r="C27" s="5">
        <v>9196</v>
      </c>
      <c r="D27" s="5" t="s">
        <v>78</v>
      </c>
      <c r="E27" s="5" t="s">
        <v>78</v>
      </c>
      <c r="F27" s="93" t="s">
        <v>111</v>
      </c>
      <c r="G27" s="5" t="s">
        <v>112</v>
      </c>
      <c r="H27" s="93" t="s">
        <v>75</v>
      </c>
      <c r="I27" s="93" t="s">
        <v>113</v>
      </c>
      <c r="J27" s="93" t="s">
        <v>162</v>
      </c>
      <c r="K27" s="5" t="s">
        <v>163</v>
      </c>
      <c r="L27" s="5">
        <v>280</v>
      </c>
      <c r="M27" s="5">
        <v>0</v>
      </c>
      <c r="N27" s="5">
        <v>280</v>
      </c>
      <c r="O27" s="5">
        <v>9.8000000000000007</v>
      </c>
      <c r="P27" s="5">
        <v>2744</v>
      </c>
      <c r="Q27" s="5">
        <v>0</v>
      </c>
      <c r="R27" s="5">
        <v>2744</v>
      </c>
    </row>
    <row r="28" spans="1:18" x14ac:dyDescent="0.25">
      <c r="A28" s="92">
        <v>46174</v>
      </c>
      <c r="B28" s="5" t="s">
        <v>110</v>
      </c>
      <c r="C28" s="5">
        <v>9196</v>
      </c>
      <c r="D28" s="5" t="s">
        <v>78</v>
      </c>
      <c r="E28" s="5" t="s">
        <v>78</v>
      </c>
      <c r="F28" s="93" t="s">
        <v>111</v>
      </c>
      <c r="G28" s="5" t="s">
        <v>112</v>
      </c>
      <c r="H28" s="93" t="s">
        <v>75</v>
      </c>
      <c r="I28" s="93" t="s">
        <v>113</v>
      </c>
      <c r="J28" s="93" t="s">
        <v>164</v>
      </c>
      <c r="K28" s="5" t="s">
        <v>165</v>
      </c>
      <c r="L28" s="5">
        <v>240</v>
      </c>
      <c r="M28" s="5">
        <v>0</v>
      </c>
      <c r="N28" s="5">
        <v>240</v>
      </c>
      <c r="O28" s="5">
        <v>9.32</v>
      </c>
      <c r="P28" s="5">
        <v>2236.8000000000002</v>
      </c>
      <c r="Q28" s="5">
        <v>0</v>
      </c>
      <c r="R28" s="5">
        <v>2236.8000000000002</v>
      </c>
    </row>
    <row r="29" spans="1:18" x14ac:dyDescent="0.25">
      <c r="A29" s="92">
        <v>46174</v>
      </c>
      <c r="B29" s="5" t="s">
        <v>110</v>
      </c>
      <c r="C29" s="5">
        <v>9196</v>
      </c>
      <c r="D29" s="5" t="s">
        <v>78</v>
      </c>
      <c r="E29" s="5" t="s">
        <v>78</v>
      </c>
      <c r="F29" s="93" t="s">
        <v>111</v>
      </c>
      <c r="G29" s="5" t="s">
        <v>112</v>
      </c>
      <c r="H29" s="93" t="s">
        <v>75</v>
      </c>
      <c r="I29" s="93" t="s">
        <v>113</v>
      </c>
      <c r="J29" s="93" t="s">
        <v>166</v>
      </c>
      <c r="K29" s="5" t="s">
        <v>167</v>
      </c>
      <c r="L29" s="5">
        <v>200</v>
      </c>
      <c r="M29" s="5">
        <v>0</v>
      </c>
      <c r="N29" s="5">
        <v>200</v>
      </c>
      <c r="O29" s="5">
        <v>9.06</v>
      </c>
      <c r="P29" s="5">
        <v>1812</v>
      </c>
      <c r="Q29" s="5">
        <v>0</v>
      </c>
      <c r="R29" s="5">
        <v>1812</v>
      </c>
    </row>
    <row r="30" spans="1:18" x14ac:dyDescent="0.25">
      <c r="A30" s="92">
        <v>46174</v>
      </c>
      <c r="B30" s="5" t="s">
        <v>110</v>
      </c>
      <c r="C30" s="5">
        <v>9196</v>
      </c>
      <c r="D30" s="5" t="s">
        <v>78</v>
      </c>
      <c r="E30" s="5" t="s">
        <v>78</v>
      </c>
      <c r="F30" s="93" t="s">
        <v>111</v>
      </c>
      <c r="G30" s="5" t="s">
        <v>112</v>
      </c>
      <c r="H30" s="93" t="s">
        <v>75</v>
      </c>
      <c r="I30" s="93" t="s">
        <v>113</v>
      </c>
      <c r="J30" s="93" t="s">
        <v>168</v>
      </c>
      <c r="K30" s="5" t="s">
        <v>169</v>
      </c>
      <c r="L30" s="5">
        <v>180</v>
      </c>
      <c r="M30" s="5">
        <v>0</v>
      </c>
      <c r="N30" s="5">
        <v>180</v>
      </c>
      <c r="O30" s="5">
        <v>10.09</v>
      </c>
      <c r="P30" s="5">
        <v>1816.2</v>
      </c>
      <c r="Q30" s="5">
        <v>0</v>
      </c>
      <c r="R30" s="5">
        <v>1816.2</v>
      </c>
    </row>
    <row r="31" spans="1:18" x14ac:dyDescent="0.25">
      <c r="A31" s="92">
        <v>46174</v>
      </c>
      <c r="B31" s="5" t="s">
        <v>110</v>
      </c>
      <c r="C31" s="5">
        <v>9196</v>
      </c>
      <c r="D31" s="5" t="s">
        <v>78</v>
      </c>
      <c r="E31" s="5" t="s">
        <v>78</v>
      </c>
      <c r="F31" s="93" t="s">
        <v>111</v>
      </c>
      <c r="G31" s="5" t="s">
        <v>112</v>
      </c>
      <c r="H31" s="93" t="s">
        <v>75</v>
      </c>
      <c r="I31" s="93" t="s">
        <v>113</v>
      </c>
      <c r="J31" s="93" t="s">
        <v>170</v>
      </c>
      <c r="K31" s="5" t="s">
        <v>171</v>
      </c>
      <c r="L31" s="5">
        <v>3275</v>
      </c>
      <c r="M31" s="5">
        <v>0</v>
      </c>
      <c r="N31" s="5">
        <v>3275</v>
      </c>
      <c r="O31" s="5">
        <v>5.64</v>
      </c>
      <c r="P31" s="5">
        <v>18471</v>
      </c>
      <c r="Q31" s="5">
        <v>0</v>
      </c>
      <c r="R31" s="5">
        <v>18471</v>
      </c>
    </row>
    <row r="32" spans="1:18" x14ac:dyDescent="0.25">
      <c r="A32" s="92">
        <v>46174</v>
      </c>
      <c r="B32" s="5" t="s">
        <v>110</v>
      </c>
      <c r="C32" s="5">
        <v>9196</v>
      </c>
      <c r="D32" s="5" t="s">
        <v>78</v>
      </c>
      <c r="E32" s="5" t="s">
        <v>78</v>
      </c>
      <c r="F32" s="93" t="s">
        <v>111</v>
      </c>
      <c r="G32" s="5" t="s">
        <v>112</v>
      </c>
      <c r="H32" s="93" t="s">
        <v>75</v>
      </c>
      <c r="I32" s="93" t="s">
        <v>113</v>
      </c>
      <c r="J32" s="93" t="s">
        <v>172</v>
      </c>
      <c r="K32" s="5" t="s">
        <v>173</v>
      </c>
      <c r="L32" s="5">
        <v>210</v>
      </c>
      <c r="M32" s="5">
        <v>0</v>
      </c>
      <c r="N32" s="5">
        <v>210</v>
      </c>
      <c r="O32" s="5">
        <v>16.28</v>
      </c>
      <c r="P32" s="5">
        <v>3418.8</v>
      </c>
      <c r="Q32" s="5">
        <v>0</v>
      </c>
      <c r="R32" s="5">
        <v>3418.8</v>
      </c>
    </row>
    <row r="33" spans="1:18" x14ac:dyDescent="0.25">
      <c r="A33" s="92">
        <v>46174</v>
      </c>
      <c r="B33" s="5" t="s">
        <v>174</v>
      </c>
      <c r="C33" s="5">
        <v>9132</v>
      </c>
      <c r="D33" s="5" t="s">
        <v>72</v>
      </c>
      <c r="E33" s="5" t="s">
        <v>72</v>
      </c>
      <c r="F33" s="93" t="s">
        <v>175</v>
      </c>
      <c r="G33" s="5" t="s">
        <v>176</v>
      </c>
      <c r="H33" s="93" t="s">
        <v>65</v>
      </c>
      <c r="I33" s="93" t="s">
        <v>177</v>
      </c>
      <c r="J33" s="93" t="s">
        <v>178</v>
      </c>
      <c r="K33" s="5" t="s">
        <v>179</v>
      </c>
      <c r="L33" s="5">
        <v>4300</v>
      </c>
      <c r="M33" s="5">
        <v>0</v>
      </c>
      <c r="N33" s="5">
        <v>4300</v>
      </c>
      <c r="O33" s="5">
        <v>1.55</v>
      </c>
      <c r="P33" s="5">
        <v>6665</v>
      </c>
      <c r="Q33" s="5">
        <v>0</v>
      </c>
      <c r="R33" s="5">
        <v>6665</v>
      </c>
    </row>
    <row r="34" spans="1:18" x14ac:dyDescent="0.25">
      <c r="A34" s="92">
        <v>46174</v>
      </c>
      <c r="B34" s="5" t="s">
        <v>180</v>
      </c>
      <c r="C34" s="5">
        <v>9101</v>
      </c>
      <c r="D34" s="5" t="s">
        <v>70</v>
      </c>
      <c r="E34" s="5" t="s">
        <v>70</v>
      </c>
      <c r="F34" s="93" t="s">
        <v>181</v>
      </c>
      <c r="G34" s="5" t="s">
        <v>182</v>
      </c>
      <c r="H34" s="93" t="s">
        <v>65</v>
      </c>
      <c r="I34" s="93" t="s">
        <v>183</v>
      </c>
      <c r="J34" s="93" t="s">
        <v>184</v>
      </c>
      <c r="K34" s="5" t="s">
        <v>185</v>
      </c>
      <c r="L34" s="5">
        <v>150</v>
      </c>
      <c r="M34" s="5">
        <v>0</v>
      </c>
      <c r="N34" s="5">
        <v>150</v>
      </c>
      <c r="O34" s="5">
        <v>18.59</v>
      </c>
      <c r="P34" s="5">
        <v>2788.5</v>
      </c>
      <c r="Q34" s="5">
        <v>0</v>
      </c>
      <c r="R34" s="5">
        <v>2788.5</v>
      </c>
    </row>
    <row r="35" spans="1:18" x14ac:dyDescent="0.25">
      <c r="A35" s="92">
        <v>46174</v>
      </c>
      <c r="B35" s="5" t="s">
        <v>186</v>
      </c>
      <c r="C35" s="5" t="s">
        <v>88</v>
      </c>
      <c r="D35" s="5" t="s">
        <v>88</v>
      </c>
      <c r="E35" s="5" t="s">
        <v>88</v>
      </c>
      <c r="F35" s="93" t="s">
        <v>187</v>
      </c>
      <c r="G35" s="5" t="s">
        <v>188</v>
      </c>
      <c r="H35" s="93" t="s">
        <v>83</v>
      </c>
      <c r="I35" s="93" t="s">
        <v>177</v>
      </c>
      <c r="J35" s="93" t="s">
        <v>189</v>
      </c>
      <c r="K35" s="5" t="s">
        <v>190</v>
      </c>
      <c r="L35" s="5">
        <v>210</v>
      </c>
      <c r="M35" s="5">
        <v>0</v>
      </c>
      <c r="N35" s="5">
        <v>210</v>
      </c>
      <c r="O35" s="5">
        <v>5.23</v>
      </c>
      <c r="P35" s="94">
        <v>1098.3</v>
      </c>
      <c r="Q35" s="5">
        <v>0</v>
      </c>
      <c r="R35" s="94">
        <v>1098.3</v>
      </c>
    </row>
    <row r="36" spans="1:18" x14ac:dyDescent="0.25">
      <c r="A36" s="92">
        <v>46174</v>
      </c>
      <c r="B36" s="5" t="s">
        <v>186</v>
      </c>
      <c r="C36" s="5" t="s">
        <v>88</v>
      </c>
      <c r="D36" s="5" t="s">
        <v>88</v>
      </c>
      <c r="E36" s="5" t="s">
        <v>88</v>
      </c>
      <c r="F36" s="93" t="s">
        <v>187</v>
      </c>
      <c r="G36" s="5" t="s">
        <v>188</v>
      </c>
      <c r="H36" s="93" t="s">
        <v>83</v>
      </c>
      <c r="I36" s="93" t="s">
        <v>177</v>
      </c>
      <c r="J36" s="93" t="s">
        <v>191</v>
      </c>
      <c r="K36" s="5" t="s">
        <v>192</v>
      </c>
      <c r="L36" s="5">
        <v>60</v>
      </c>
      <c r="M36" s="5">
        <v>0</v>
      </c>
      <c r="N36" s="5">
        <v>60</v>
      </c>
      <c r="O36" s="5">
        <v>5.32</v>
      </c>
      <c r="P36" s="94">
        <v>319.2</v>
      </c>
      <c r="Q36" s="5">
        <v>0</v>
      </c>
      <c r="R36" s="94">
        <v>319.2</v>
      </c>
    </row>
    <row r="37" spans="1:18" x14ac:dyDescent="0.25">
      <c r="A37" s="92">
        <v>46174</v>
      </c>
      <c r="B37" s="5" t="s">
        <v>186</v>
      </c>
      <c r="C37" s="5" t="s">
        <v>88</v>
      </c>
      <c r="D37" s="5" t="s">
        <v>88</v>
      </c>
      <c r="E37" s="5" t="s">
        <v>88</v>
      </c>
      <c r="F37" s="93" t="s">
        <v>187</v>
      </c>
      <c r="G37" s="5" t="s">
        <v>188</v>
      </c>
      <c r="H37" s="93" t="s">
        <v>83</v>
      </c>
      <c r="I37" s="93" t="s">
        <v>177</v>
      </c>
      <c r="J37" s="93" t="s">
        <v>193</v>
      </c>
      <c r="K37" s="5" t="s">
        <v>194</v>
      </c>
      <c r="L37" s="5">
        <v>420</v>
      </c>
      <c r="M37" s="5">
        <v>0</v>
      </c>
      <c r="N37" s="5">
        <v>420</v>
      </c>
      <c r="O37" s="5">
        <v>17.13</v>
      </c>
      <c r="P37" s="94">
        <v>7194.5999999999904</v>
      </c>
      <c r="Q37" s="5">
        <v>0</v>
      </c>
      <c r="R37" s="94">
        <v>7194.5999999999904</v>
      </c>
    </row>
    <row r="38" spans="1:18" x14ac:dyDescent="0.25">
      <c r="A38" s="92">
        <v>46174</v>
      </c>
      <c r="B38" s="5" t="s">
        <v>195</v>
      </c>
      <c r="C38" s="5" t="s">
        <v>86</v>
      </c>
      <c r="D38" s="5" t="s">
        <v>86</v>
      </c>
      <c r="E38" s="5" t="s">
        <v>86</v>
      </c>
      <c r="F38" s="93" t="s">
        <v>187</v>
      </c>
      <c r="G38" s="5" t="s">
        <v>188</v>
      </c>
      <c r="H38" s="93" t="s">
        <v>83</v>
      </c>
      <c r="I38" s="93" t="s">
        <v>177</v>
      </c>
      <c r="J38" s="93" t="s">
        <v>193</v>
      </c>
      <c r="K38" s="5" t="s">
        <v>194</v>
      </c>
      <c r="L38" s="5">
        <v>525</v>
      </c>
      <c r="M38" s="5">
        <v>0</v>
      </c>
      <c r="N38" s="5">
        <v>525</v>
      </c>
      <c r="O38" s="5">
        <v>17.13</v>
      </c>
      <c r="P38" s="5">
        <v>8993.25</v>
      </c>
      <c r="Q38" s="5">
        <v>0</v>
      </c>
      <c r="R38" s="5">
        <v>8993.25</v>
      </c>
    </row>
    <row r="39" spans="1:18" x14ac:dyDescent="0.25">
      <c r="A39" s="92">
        <v>46174</v>
      </c>
      <c r="B39" s="5" t="s">
        <v>195</v>
      </c>
      <c r="C39" s="5" t="s">
        <v>86</v>
      </c>
      <c r="D39" s="5" t="s">
        <v>86</v>
      </c>
      <c r="E39" s="5" t="s">
        <v>86</v>
      </c>
      <c r="F39" s="93" t="s">
        <v>187</v>
      </c>
      <c r="G39" s="5" t="s">
        <v>188</v>
      </c>
      <c r="H39" s="93" t="s">
        <v>83</v>
      </c>
      <c r="I39" s="93" t="s">
        <v>177</v>
      </c>
      <c r="J39" s="93" t="s">
        <v>189</v>
      </c>
      <c r="K39" s="5" t="s">
        <v>190</v>
      </c>
      <c r="L39" s="5">
        <v>210</v>
      </c>
      <c r="M39" s="5">
        <v>0</v>
      </c>
      <c r="N39" s="5">
        <v>210</v>
      </c>
      <c r="O39" s="5">
        <v>5.23</v>
      </c>
      <c r="P39" s="94">
        <v>1098.3</v>
      </c>
      <c r="Q39" s="5">
        <v>0</v>
      </c>
      <c r="R39" s="94">
        <v>1098.3</v>
      </c>
    </row>
    <row r="40" spans="1:18" x14ac:dyDescent="0.25">
      <c r="A40" s="92">
        <v>46174</v>
      </c>
      <c r="B40" s="5" t="s">
        <v>195</v>
      </c>
      <c r="C40" s="5" t="s">
        <v>86</v>
      </c>
      <c r="D40" s="5" t="s">
        <v>86</v>
      </c>
      <c r="E40" s="5" t="s">
        <v>86</v>
      </c>
      <c r="F40" s="93" t="s">
        <v>187</v>
      </c>
      <c r="G40" s="5" t="s">
        <v>188</v>
      </c>
      <c r="H40" s="93" t="s">
        <v>83</v>
      </c>
      <c r="I40" s="93" t="s">
        <v>177</v>
      </c>
      <c r="J40" s="93" t="s">
        <v>191</v>
      </c>
      <c r="K40" s="5" t="s">
        <v>192</v>
      </c>
      <c r="L40" s="5">
        <v>60</v>
      </c>
      <c r="M40" s="5">
        <v>0</v>
      </c>
      <c r="N40" s="5">
        <v>60</v>
      </c>
      <c r="O40" s="5">
        <v>5.32</v>
      </c>
      <c r="P40" s="94">
        <v>319.2</v>
      </c>
      <c r="Q40" s="5">
        <v>0</v>
      </c>
      <c r="R40" s="94">
        <v>319.2</v>
      </c>
    </row>
    <row r="41" spans="1:18" x14ac:dyDescent="0.25">
      <c r="A41" s="92">
        <v>46174</v>
      </c>
      <c r="B41" s="5" t="s">
        <v>196</v>
      </c>
      <c r="C41" s="5">
        <v>9070</v>
      </c>
      <c r="D41" s="5" t="s">
        <v>76</v>
      </c>
      <c r="E41" s="5" t="s">
        <v>76</v>
      </c>
      <c r="F41" s="93" t="s">
        <v>197</v>
      </c>
      <c r="G41" s="5" t="s">
        <v>198</v>
      </c>
      <c r="H41" s="93" t="s">
        <v>75</v>
      </c>
      <c r="I41" s="93" t="s">
        <v>113</v>
      </c>
      <c r="J41" s="93" t="s">
        <v>114</v>
      </c>
      <c r="K41" s="5" t="s">
        <v>115</v>
      </c>
      <c r="L41" s="5">
        <v>4000</v>
      </c>
      <c r="M41" s="5">
        <v>0</v>
      </c>
      <c r="N41" s="5">
        <v>4000</v>
      </c>
      <c r="O41" s="5">
        <v>15.48</v>
      </c>
      <c r="P41" s="5">
        <v>61920</v>
      </c>
      <c r="Q41" s="5">
        <v>0</v>
      </c>
      <c r="R41" s="5">
        <v>61920</v>
      </c>
    </row>
    <row r="42" spans="1:18" x14ac:dyDescent="0.25">
      <c r="A42" s="92">
        <v>46174</v>
      </c>
      <c r="B42" s="5" t="s">
        <v>196</v>
      </c>
      <c r="C42" s="5">
        <v>9070</v>
      </c>
      <c r="D42" s="5" t="s">
        <v>76</v>
      </c>
      <c r="E42" s="5" t="s">
        <v>76</v>
      </c>
      <c r="F42" s="93" t="s">
        <v>197</v>
      </c>
      <c r="G42" s="5" t="s">
        <v>198</v>
      </c>
      <c r="H42" s="93" t="s">
        <v>75</v>
      </c>
      <c r="I42" s="93" t="s">
        <v>113</v>
      </c>
      <c r="J42" s="93" t="s">
        <v>170</v>
      </c>
      <c r="K42" s="5" t="s">
        <v>171</v>
      </c>
      <c r="L42" s="5">
        <v>4000</v>
      </c>
      <c r="M42" s="5">
        <v>0</v>
      </c>
      <c r="N42" s="5">
        <v>4000</v>
      </c>
      <c r="O42" s="5">
        <v>5.64</v>
      </c>
      <c r="P42" s="5">
        <v>22560</v>
      </c>
      <c r="Q42" s="5">
        <v>0</v>
      </c>
      <c r="R42" s="5">
        <v>22560</v>
      </c>
    </row>
    <row r="43" spans="1:18" x14ac:dyDescent="0.25">
      <c r="A43" s="92">
        <v>46174</v>
      </c>
      <c r="B43" s="5" t="s">
        <v>196</v>
      </c>
      <c r="C43" s="5">
        <v>9070</v>
      </c>
      <c r="D43" s="5" t="s">
        <v>76</v>
      </c>
      <c r="E43" s="5" t="s">
        <v>76</v>
      </c>
      <c r="F43" s="93" t="s">
        <v>197</v>
      </c>
      <c r="G43" s="5" t="s">
        <v>198</v>
      </c>
      <c r="H43" s="93" t="s">
        <v>75</v>
      </c>
      <c r="I43" s="93" t="s">
        <v>113</v>
      </c>
      <c r="J43" s="93" t="s">
        <v>138</v>
      </c>
      <c r="K43" s="5" t="s">
        <v>139</v>
      </c>
      <c r="L43" s="5">
        <v>4005</v>
      </c>
      <c r="M43" s="5">
        <v>0</v>
      </c>
      <c r="N43" s="5">
        <v>4005</v>
      </c>
      <c r="O43" s="5">
        <v>10.14</v>
      </c>
      <c r="P43" s="94">
        <v>40610.699999999997</v>
      </c>
      <c r="Q43" s="5">
        <v>0</v>
      </c>
      <c r="R43" s="94">
        <v>40610.699999999997</v>
      </c>
    </row>
    <row r="44" spans="1:18" x14ac:dyDescent="0.25">
      <c r="A44" s="92">
        <v>46174</v>
      </c>
      <c r="B44" s="5" t="s">
        <v>196</v>
      </c>
      <c r="C44" s="5">
        <v>9070</v>
      </c>
      <c r="D44" s="5" t="s">
        <v>76</v>
      </c>
      <c r="E44" s="5" t="s">
        <v>76</v>
      </c>
      <c r="F44" s="93" t="s">
        <v>197</v>
      </c>
      <c r="G44" s="5" t="s">
        <v>198</v>
      </c>
      <c r="H44" s="93" t="s">
        <v>75</v>
      </c>
      <c r="I44" s="93" t="s">
        <v>113</v>
      </c>
      <c r="J44" s="93" t="s">
        <v>199</v>
      </c>
      <c r="K44" s="5" t="s">
        <v>200</v>
      </c>
      <c r="L44" s="5">
        <v>2010</v>
      </c>
      <c r="M44" s="5">
        <v>0</v>
      </c>
      <c r="N44" s="5">
        <v>2010</v>
      </c>
      <c r="O44" s="5">
        <v>7.46</v>
      </c>
      <c r="P44" s="5">
        <v>14994.6</v>
      </c>
      <c r="Q44" s="5">
        <v>0</v>
      </c>
      <c r="R44" s="5">
        <v>14994.6</v>
      </c>
    </row>
    <row r="45" spans="1:18" x14ac:dyDescent="0.25">
      <c r="A45" s="92">
        <v>46174</v>
      </c>
      <c r="B45" s="5" t="s">
        <v>196</v>
      </c>
      <c r="C45" s="5">
        <v>9070</v>
      </c>
      <c r="D45" s="5" t="s">
        <v>76</v>
      </c>
      <c r="E45" s="5" t="s">
        <v>76</v>
      </c>
      <c r="F45" s="93" t="s">
        <v>197</v>
      </c>
      <c r="G45" s="5" t="s">
        <v>198</v>
      </c>
      <c r="H45" s="93" t="s">
        <v>75</v>
      </c>
      <c r="I45" s="93" t="s">
        <v>113</v>
      </c>
      <c r="J45" s="93" t="s">
        <v>120</v>
      </c>
      <c r="K45" s="5" t="s">
        <v>121</v>
      </c>
      <c r="L45" s="5">
        <v>510</v>
      </c>
      <c r="M45" s="5">
        <v>0</v>
      </c>
      <c r="N45" s="5">
        <v>510</v>
      </c>
      <c r="O45" s="5">
        <v>11.85</v>
      </c>
      <c r="P45" s="5">
        <v>6043.5</v>
      </c>
      <c r="Q45" s="5">
        <v>0</v>
      </c>
      <c r="R45" s="5">
        <v>6043.5</v>
      </c>
    </row>
    <row r="46" spans="1:18" x14ac:dyDescent="0.25">
      <c r="A46" s="92">
        <v>46174</v>
      </c>
      <c r="B46" s="5" t="s">
        <v>196</v>
      </c>
      <c r="C46" s="5">
        <v>9070</v>
      </c>
      <c r="D46" s="5" t="s">
        <v>76</v>
      </c>
      <c r="E46" s="5" t="s">
        <v>76</v>
      </c>
      <c r="F46" s="93" t="s">
        <v>197</v>
      </c>
      <c r="G46" s="5" t="s">
        <v>198</v>
      </c>
      <c r="H46" s="93" t="s">
        <v>75</v>
      </c>
      <c r="I46" s="93" t="s">
        <v>113</v>
      </c>
      <c r="J46" s="93" t="s">
        <v>122</v>
      </c>
      <c r="K46" s="5" t="s">
        <v>123</v>
      </c>
      <c r="L46" s="5">
        <v>2010</v>
      </c>
      <c r="M46" s="5">
        <v>0</v>
      </c>
      <c r="N46" s="5">
        <v>2010</v>
      </c>
      <c r="O46" s="5">
        <v>9.83</v>
      </c>
      <c r="P46" s="5">
        <v>19758.3</v>
      </c>
      <c r="Q46" s="5">
        <v>0</v>
      </c>
      <c r="R46" s="5">
        <v>19758.3</v>
      </c>
    </row>
    <row r="47" spans="1:18" x14ac:dyDescent="0.25">
      <c r="A47" s="92">
        <v>46174</v>
      </c>
      <c r="B47" s="5" t="s">
        <v>196</v>
      </c>
      <c r="C47" s="5">
        <v>9070</v>
      </c>
      <c r="D47" s="5" t="s">
        <v>76</v>
      </c>
      <c r="E47" s="5" t="s">
        <v>76</v>
      </c>
      <c r="F47" s="93" t="s">
        <v>197</v>
      </c>
      <c r="G47" s="5" t="s">
        <v>198</v>
      </c>
      <c r="H47" s="93" t="s">
        <v>75</v>
      </c>
      <c r="I47" s="93" t="s">
        <v>113</v>
      </c>
      <c r="J47" s="93" t="s">
        <v>152</v>
      </c>
      <c r="K47" s="5" t="s">
        <v>153</v>
      </c>
      <c r="L47" s="5">
        <v>1020</v>
      </c>
      <c r="M47" s="5">
        <v>0</v>
      </c>
      <c r="N47" s="5">
        <v>1020</v>
      </c>
      <c r="O47" s="5">
        <v>8.99</v>
      </c>
      <c r="P47" s="94">
        <v>9169.7999999999993</v>
      </c>
      <c r="Q47" s="5">
        <v>0</v>
      </c>
      <c r="R47" s="94">
        <v>9169.7999999999993</v>
      </c>
    </row>
    <row r="48" spans="1:18" x14ac:dyDescent="0.25">
      <c r="A48" s="92">
        <v>46174</v>
      </c>
      <c r="B48" s="5" t="s">
        <v>196</v>
      </c>
      <c r="C48" s="5">
        <v>9070</v>
      </c>
      <c r="D48" s="5" t="s">
        <v>76</v>
      </c>
      <c r="E48" s="5" t="s">
        <v>76</v>
      </c>
      <c r="F48" s="93" t="s">
        <v>197</v>
      </c>
      <c r="G48" s="5" t="s">
        <v>198</v>
      </c>
      <c r="H48" s="93" t="s">
        <v>75</v>
      </c>
      <c r="I48" s="93" t="s">
        <v>113</v>
      </c>
      <c r="J48" s="93" t="s">
        <v>150</v>
      </c>
      <c r="K48" s="5" t="s">
        <v>151</v>
      </c>
      <c r="L48" s="5">
        <v>1020</v>
      </c>
      <c r="M48" s="5">
        <v>0</v>
      </c>
      <c r="N48" s="5">
        <v>1020</v>
      </c>
      <c r="O48" s="5">
        <v>9.86</v>
      </c>
      <c r="P48" s="94">
        <v>10057.199999999901</v>
      </c>
      <c r="Q48" s="5">
        <v>0</v>
      </c>
      <c r="R48" s="94">
        <v>10057.199999999901</v>
      </c>
    </row>
    <row r="49" spans="1:18" x14ac:dyDescent="0.25">
      <c r="A49" s="92">
        <v>46174</v>
      </c>
      <c r="B49" s="5" t="s">
        <v>196</v>
      </c>
      <c r="C49" s="5">
        <v>9070</v>
      </c>
      <c r="D49" s="5" t="s">
        <v>76</v>
      </c>
      <c r="E49" s="5" t="s">
        <v>76</v>
      </c>
      <c r="F49" s="93" t="s">
        <v>197</v>
      </c>
      <c r="G49" s="5" t="s">
        <v>198</v>
      </c>
      <c r="H49" s="93" t="s">
        <v>75</v>
      </c>
      <c r="I49" s="93" t="s">
        <v>113</v>
      </c>
      <c r="J49" s="93" t="s">
        <v>164</v>
      </c>
      <c r="K49" s="5" t="s">
        <v>165</v>
      </c>
      <c r="L49" s="5">
        <v>1000</v>
      </c>
      <c r="M49" s="5">
        <v>0</v>
      </c>
      <c r="N49" s="5">
        <v>1000</v>
      </c>
      <c r="O49" s="5">
        <v>9.32</v>
      </c>
      <c r="P49" s="5">
        <v>9320</v>
      </c>
      <c r="Q49" s="5">
        <v>0</v>
      </c>
      <c r="R49" s="5">
        <v>9320</v>
      </c>
    </row>
    <row r="50" spans="1:18" x14ac:dyDescent="0.25">
      <c r="A50" s="92">
        <v>46174</v>
      </c>
      <c r="B50" s="5" t="s">
        <v>196</v>
      </c>
      <c r="C50" s="5">
        <v>9070</v>
      </c>
      <c r="D50" s="5" t="s">
        <v>76</v>
      </c>
      <c r="E50" s="5" t="s">
        <v>76</v>
      </c>
      <c r="F50" s="93" t="s">
        <v>197</v>
      </c>
      <c r="G50" s="5" t="s">
        <v>198</v>
      </c>
      <c r="H50" s="93" t="s">
        <v>75</v>
      </c>
      <c r="I50" s="93" t="s">
        <v>113</v>
      </c>
      <c r="J50" s="93" t="s">
        <v>162</v>
      </c>
      <c r="K50" s="5" t="s">
        <v>163</v>
      </c>
      <c r="L50" s="5">
        <v>1000</v>
      </c>
      <c r="M50" s="5">
        <v>0</v>
      </c>
      <c r="N50" s="5">
        <v>1000</v>
      </c>
      <c r="O50" s="5">
        <v>9.8000000000000007</v>
      </c>
      <c r="P50" s="5">
        <v>9800</v>
      </c>
      <c r="Q50" s="5">
        <v>0</v>
      </c>
      <c r="R50" s="5">
        <v>9800</v>
      </c>
    </row>
    <row r="51" spans="1:18" x14ac:dyDescent="0.25">
      <c r="A51" s="92">
        <v>46174</v>
      </c>
      <c r="B51" s="5" t="s">
        <v>196</v>
      </c>
      <c r="C51" s="5">
        <v>9070</v>
      </c>
      <c r="D51" s="5" t="s">
        <v>76</v>
      </c>
      <c r="E51" s="5" t="s">
        <v>76</v>
      </c>
      <c r="F51" s="93" t="s">
        <v>197</v>
      </c>
      <c r="G51" s="5" t="s">
        <v>198</v>
      </c>
      <c r="H51" s="93" t="s">
        <v>75</v>
      </c>
      <c r="I51" s="93" t="s">
        <v>113</v>
      </c>
      <c r="J51" s="93" t="s">
        <v>142</v>
      </c>
      <c r="K51" s="5" t="s">
        <v>143</v>
      </c>
      <c r="L51" s="5">
        <v>2016</v>
      </c>
      <c r="M51" s="5">
        <v>0</v>
      </c>
      <c r="N51" s="5">
        <v>2016</v>
      </c>
      <c r="O51" s="5">
        <v>9.0399999999999991</v>
      </c>
      <c r="P51" s="5">
        <v>18224.64</v>
      </c>
      <c r="Q51" s="5">
        <v>0</v>
      </c>
      <c r="R51" s="5">
        <v>18224.64</v>
      </c>
    </row>
    <row r="52" spans="1:18" x14ac:dyDescent="0.25">
      <c r="A52" s="92">
        <v>46174</v>
      </c>
      <c r="B52" s="5" t="s">
        <v>201</v>
      </c>
      <c r="C52" s="5">
        <v>9071</v>
      </c>
      <c r="D52" s="5" t="s">
        <v>84</v>
      </c>
      <c r="E52" s="5" t="s">
        <v>84</v>
      </c>
      <c r="F52" s="93" t="s">
        <v>202</v>
      </c>
      <c r="G52" s="5" t="s">
        <v>203</v>
      </c>
      <c r="H52" s="93" t="s">
        <v>83</v>
      </c>
      <c r="I52" s="93" t="s">
        <v>177</v>
      </c>
      <c r="J52" s="93" t="s">
        <v>189</v>
      </c>
      <c r="K52" s="5" t="s">
        <v>190</v>
      </c>
      <c r="L52" s="5">
        <v>1020</v>
      </c>
      <c r="M52" s="5">
        <v>0</v>
      </c>
      <c r="N52" s="5">
        <v>1020</v>
      </c>
      <c r="O52" s="5">
        <v>5.23</v>
      </c>
      <c r="P52" s="5">
        <v>5334.6</v>
      </c>
      <c r="Q52" s="5">
        <v>0</v>
      </c>
      <c r="R52" s="5">
        <v>5334.6</v>
      </c>
    </row>
    <row r="53" spans="1:18" x14ac:dyDescent="0.25">
      <c r="A53" s="92">
        <v>46174</v>
      </c>
      <c r="B53" s="5" t="s">
        <v>201</v>
      </c>
      <c r="C53" s="5">
        <v>9071</v>
      </c>
      <c r="D53" s="5" t="s">
        <v>84</v>
      </c>
      <c r="E53" s="5" t="s">
        <v>84</v>
      </c>
      <c r="F53" s="93" t="s">
        <v>202</v>
      </c>
      <c r="G53" s="5" t="s">
        <v>203</v>
      </c>
      <c r="H53" s="93" t="s">
        <v>83</v>
      </c>
      <c r="I53" s="93" t="s">
        <v>177</v>
      </c>
      <c r="J53" s="93" t="s">
        <v>204</v>
      </c>
      <c r="K53" s="5" t="s">
        <v>205</v>
      </c>
      <c r="L53" s="5">
        <v>300</v>
      </c>
      <c r="M53" s="5">
        <v>0</v>
      </c>
      <c r="N53" s="5">
        <v>300</v>
      </c>
      <c r="O53" s="5">
        <v>3.45</v>
      </c>
      <c r="P53" s="5">
        <v>1035</v>
      </c>
      <c r="Q53" s="5">
        <v>0</v>
      </c>
      <c r="R53" s="5">
        <v>1035</v>
      </c>
    </row>
    <row r="54" spans="1:18" x14ac:dyDescent="0.25">
      <c r="A54" s="92">
        <v>46174</v>
      </c>
      <c r="B54" s="5" t="s">
        <v>201</v>
      </c>
      <c r="C54" s="5">
        <v>9071</v>
      </c>
      <c r="D54" s="5" t="s">
        <v>84</v>
      </c>
      <c r="E54" s="5" t="s">
        <v>84</v>
      </c>
      <c r="F54" s="93" t="s">
        <v>202</v>
      </c>
      <c r="G54" s="5" t="s">
        <v>203</v>
      </c>
      <c r="H54" s="93" t="s">
        <v>83</v>
      </c>
      <c r="I54" s="93" t="s">
        <v>177</v>
      </c>
      <c r="J54" s="93" t="s">
        <v>191</v>
      </c>
      <c r="K54" s="5" t="s">
        <v>192</v>
      </c>
      <c r="L54" s="5">
        <v>270</v>
      </c>
      <c r="M54" s="5">
        <v>0</v>
      </c>
      <c r="N54" s="5">
        <v>270</v>
      </c>
      <c r="O54" s="5">
        <v>5.32</v>
      </c>
      <c r="P54" s="5">
        <v>1436.4</v>
      </c>
      <c r="Q54" s="5">
        <v>0</v>
      </c>
      <c r="R54" s="5">
        <v>1436.4</v>
      </c>
    </row>
    <row r="55" spans="1:18" x14ac:dyDescent="0.25">
      <c r="A55" s="92">
        <v>46174</v>
      </c>
      <c r="B55" s="5" t="s">
        <v>201</v>
      </c>
      <c r="C55" s="5">
        <v>9071</v>
      </c>
      <c r="D55" s="5" t="s">
        <v>84</v>
      </c>
      <c r="E55" s="5" t="s">
        <v>84</v>
      </c>
      <c r="F55" s="93" t="s">
        <v>202</v>
      </c>
      <c r="G55" s="5" t="s">
        <v>203</v>
      </c>
      <c r="H55" s="93" t="s">
        <v>83</v>
      </c>
      <c r="I55" s="93" t="s">
        <v>177</v>
      </c>
      <c r="J55" s="93" t="s">
        <v>206</v>
      </c>
      <c r="K55" s="5" t="s">
        <v>207</v>
      </c>
      <c r="L55" s="5">
        <v>3000</v>
      </c>
      <c r="M55" s="5">
        <v>0</v>
      </c>
      <c r="N55" s="5">
        <v>3000</v>
      </c>
      <c r="O55" s="5">
        <v>9.93</v>
      </c>
      <c r="P55" s="5">
        <v>29790</v>
      </c>
      <c r="Q55" s="5">
        <v>0</v>
      </c>
      <c r="R55" s="5">
        <v>29790</v>
      </c>
    </row>
    <row r="56" spans="1:18" x14ac:dyDescent="0.25">
      <c r="A56" s="92">
        <v>46174</v>
      </c>
      <c r="B56" s="5" t="s">
        <v>208</v>
      </c>
      <c r="C56" s="5">
        <v>8966</v>
      </c>
      <c r="D56" s="5" t="s">
        <v>68</v>
      </c>
      <c r="E56" s="5" t="s">
        <v>68</v>
      </c>
      <c r="F56" s="93" t="s">
        <v>209</v>
      </c>
      <c r="G56" s="5" t="s">
        <v>210</v>
      </c>
      <c r="H56" s="93" t="s">
        <v>65</v>
      </c>
      <c r="I56" s="93" t="s">
        <v>177</v>
      </c>
      <c r="J56" s="93" t="s">
        <v>211</v>
      </c>
      <c r="K56" s="5" t="s">
        <v>212</v>
      </c>
      <c r="L56" s="5">
        <v>120</v>
      </c>
      <c r="M56" s="5">
        <v>0</v>
      </c>
      <c r="N56" s="5">
        <v>120</v>
      </c>
      <c r="O56" s="5">
        <v>11.5</v>
      </c>
      <c r="P56" s="5">
        <v>1380</v>
      </c>
      <c r="Q56" s="5">
        <v>0</v>
      </c>
      <c r="R56" s="5">
        <v>1380</v>
      </c>
    </row>
    <row r="57" spans="1:18" x14ac:dyDescent="0.25">
      <c r="A57" s="92">
        <v>46174</v>
      </c>
      <c r="B57" s="5" t="s">
        <v>208</v>
      </c>
      <c r="C57" s="5">
        <v>8966</v>
      </c>
      <c r="D57" s="5" t="s">
        <v>68</v>
      </c>
      <c r="E57" s="5" t="s">
        <v>68</v>
      </c>
      <c r="F57" s="93" t="s">
        <v>209</v>
      </c>
      <c r="G57" s="5" t="s">
        <v>210</v>
      </c>
      <c r="H57" s="93" t="s">
        <v>65</v>
      </c>
      <c r="I57" s="93" t="s">
        <v>177</v>
      </c>
      <c r="J57" s="93" t="s">
        <v>213</v>
      </c>
      <c r="K57" s="5" t="s">
        <v>214</v>
      </c>
      <c r="L57" s="5">
        <v>120</v>
      </c>
      <c r="M57" s="5">
        <v>0</v>
      </c>
      <c r="N57" s="5">
        <v>120</v>
      </c>
      <c r="O57" s="5">
        <v>13.31</v>
      </c>
      <c r="P57" s="5">
        <v>1597.2</v>
      </c>
      <c r="Q57" s="5">
        <v>0</v>
      </c>
      <c r="R57" s="5">
        <v>1597.2</v>
      </c>
    </row>
    <row r="58" spans="1:18" x14ac:dyDescent="0.25">
      <c r="A58" s="92">
        <v>46174</v>
      </c>
      <c r="B58" s="5" t="s">
        <v>215</v>
      </c>
      <c r="C58" s="5" t="s">
        <v>90</v>
      </c>
      <c r="D58" s="5" t="s">
        <v>90</v>
      </c>
      <c r="E58" s="5" t="s">
        <v>90</v>
      </c>
      <c r="F58" s="93" t="s">
        <v>216</v>
      </c>
      <c r="G58" s="5" t="s">
        <v>217</v>
      </c>
      <c r="H58" s="93" t="s">
        <v>83</v>
      </c>
      <c r="I58" s="93" t="s">
        <v>177</v>
      </c>
      <c r="J58" s="93" t="s">
        <v>199</v>
      </c>
      <c r="K58" s="5" t="s">
        <v>200</v>
      </c>
      <c r="L58" s="5">
        <v>150</v>
      </c>
      <c r="M58" s="5">
        <v>0</v>
      </c>
      <c r="N58" s="5">
        <v>150</v>
      </c>
      <c r="O58" s="5">
        <v>7.46</v>
      </c>
      <c r="P58" s="5">
        <v>1119</v>
      </c>
      <c r="Q58" s="5">
        <v>0</v>
      </c>
      <c r="R58" s="5">
        <v>1119</v>
      </c>
    </row>
    <row r="59" spans="1:18" x14ac:dyDescent="0.25">
      <c r="A59" s="92">
        <v>46174</v>
      </c>
      <c r="B59" s="5" t="s">
        <v>218</v>
      </c>
      <c r="C59" s="5" t="s">
        <v>80</v>
      </c>
      <c r="D59" s="5" t="s">
        <v>80</v>
      </c>
      <c r="E59" s="5" t="s">
        <v>80</v>
      </c>
      <c r="F59" s="93" t="s">
        <v>216</v>
      </c>
      <c r="G59" s="5" t="s">
        <v>217</v>
      </c>
      <c r="H59" s="93" t="s">
        <v>75</v>
      </c>
      <c r="I59" s="93" t="s">
        <v>177</v>
      </c>
      <c r="J59" s="93" t="s">
        <v>138</v>
      </c>
      <c r="K59" s="5" t="s">
        <v>139</v>
      </c>
      <c r="L59" s="5">
        <v>2400</v>
      </c>
      <c r="M59" s="5">
        <v>0</v>
      </c>
      <c r="N59" s="5">
        <v>2400</v>
      </c>
      <c r="O59" s="5">
        <v>10.14</v>
      </c>
      <c r="P59" s="5">
        <v>24336</v>
      </c>
      <c r="Q59" s="5">
        <v>0</v>
      </c>
      <c r="R59" s="5">
        <v>24336</v>
      </c>
    </row>
    <row r="60" spans="1:18" x14ac:dyDescent="0.25">
      <c r="A60" s="92">
        <v>46174</v>
      </c>
      <c r="B60" s="5" t="s">
        <v>218</v>
      </c>
      <c r="C60" s="5" t="s">
        <v>80</v>
      </c>
      <c r="D60" s="5" t="s">
        <v>80</v>
      </c>
      <c r="E60" s="5" t="s">
        <v>80</v>
      </c>
      <c r="F60" s="93" t="s">
        <v>216</v>
      </c>
      <c r="G60" s="5" t="s">
        <v>217</v>
      </c>
      <c r="H60" s="93" t="s">
        <v>75</v>
      </c>
      <c r="I60" s="93" t="s">
        <v>177</v>
      </c>
      <c r="J60" s="93" t="s">
        <v>122</v>
      </c>
      <c r="K60" s="5" t="s">
        <v>123</v>
      </c>
      <c r="L60" s="5">
        <v>510</v>
      </c>
      <c r="M60" s="5">
        <v>0</v>
      </c>
      <c r="N60" s="5">
        <v>510</v>
      </c>
      <c r="O60" s="5">
        <v>9.83</v>
      </c>
      <c r="P60" s="5">
        <v>5013.3</v>
      </c>
      <c r="Q60" s="5">
        <v>0</v>
      </c>
      <c r="R60" s="5">
        <v>5013.3</v>
      </c>
    </row>
    <row r="61" spans="1:18" x14ac:dyDescent="0.25">
      <c r="A61" s="92">
        <v>46174</v>
      </c>
      <c r="B61" s="5" t="s">
        <v>219</v>
      </c>
      <c r="C61" s="5">
        <v>8942</v>
      </c>
      <c r="D61" s="5" t="s">
        <v>66</v>
      </c>
      <c r="E61" s="5" t="s">
        <v>66</v>
      </c>
      <c r="F61" s="93" t="s">
        <v>216</v>
      </c>
      <c r="G61" s="5" t="s">
        <v>217</v>
      </c>
      <c r="H61" s="93" t="s">
        <v>65</v>
      </c>
      <c r="I61" s="93" t="s">
        <v>183</v>
      </c>
      <c r="J61" s="93" t="s">
        <v>220</v>
      </c>
      <c r="K61" s="5" t="s">
        <v>221</v>
      </c>
      <c r="L61" s="5">
        <v>11000</v>
      </c>
      <c r="M61" s="5">
        <v>0</v>
      </c>
      <c r="N61" s="5">
        <v>11000</v>
      </c>
      <c r="O61" s="5">
        <v>2.84</v>
      </c>
      <c r="P61" s="5">
        <v>31240</v>
      </c>
      <c r="Q61" s="5">
        <v>0</v>
      </c>
      <c r="R61" s="5">
        <v>31240</v>
      </c>
    </row>
    <row r="62" spans="1:18" x14ac:dyDescent="0.25">
      <c r="A62" s="92">
        <v>46174</v>
      </c>
      <c r="B62" s="5" t="s">
        <v>222</v>
      </c>
      <c r="C62" s="5">
        <v>8928</v>
      </c>
      <c r="D62" s="5" t="s">
        <v>62</v>
      </c>
      <c r="E62" s="5" t="s">
        <v>62</v>
      </c>
      <c r="F62" s="93" t="s">
        <v>223</v>
      </c>
      <c r="G62" s="5" t="s">
        <v>224</v>
      </c>
      <c r="H62" s="93" t="s">
        <v>61</v>
      </c>
      <c r="I62" s="93" t="s">
        <v>177</v>
      </c>
      <c r="J62" s="93" t="s">
        <v>225</v>
      </c>
      <c r="K62" s="5" t="s">
        <v>226</v>
      </c>
      <c r="L62" s="5">
        <v>120</v>
      </c>
      <c r="M62" s="5">
        <v>0</v>
      </c>
      <c r="N62" s="5">
        <v>120</v>
      </c>
      <c r="O62" s="5">
        <v>9.48</v>
      </c>
      <c r="P62" s="94">
        <v>1137.5999999999999</v>
      </c>
      <c r="Q62" s="5">
        <v>0</v>
      </c>
      <c r="R62" s="94">
        <v>1137.5999999999999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5521-6B61-46E6-BBFF-EBE7338509F6}">
  <dimension ref="C2:S26"/>
  <sheetViews>
    <sheetView workbookViewId="0">
      <selection activeCell="I29" sqref="I29"/>
    </sheetView>
  </sheetViews>
  <sheetFormatPr defaultRowHeight="15" x14ac:dyDescent="0.25"/>
  <cols>
    <col min="3" max="3" width="18.140625" bestFit="1" customWidth="1"/>
    <col min="4" max="4" width="9" bestFit="1" customWidth="1"/>
    <col min="5" max="5" width="11" bestFit="1" customWidth="1"/>
    <col min="6" max="6" width="14" bestFit="1" customWidth="1"/>
    <col min="7" max="7" width="11.5703125" bestFit="1" customWidth="1"/>
    <col min="8" max="8" width="13.5703125" bestFit="1" customWidth="1"/>
    <col min="9" max="9" width="13" bestFit="1" customWidth="1"/>
    <col min="10" max="10" width="11" bestFit="1" customWidth="1"/>
    <col min="11" max="11" width="12.42578125" bestFit="1" customWidth="1"/>
    <col min="12" max="12" width="9.28515625" bestFit="1" customWidth="1"/>
    <col min="16" max="16" width="11.140625" bestFit="1" customWidth="1"/>
    <col min="18" max="18" width="10.140625" bestFit="1" customWidth="1"/>
    <col min="19" max="19" width="10.7109375" customWidth="1"/>
  </cols>
  <sheetData>
    <row r="2" spans="3:19" ht="15.75" x14ac:dyDescent="0.25">
      <c r="C2" s="36" t="s">
        <v>23</v>
      </c>
      <c r="D2" s="37" t="s">
        <v>24</v>
      </c>
      <c r="E2" s="37" t="s">
        <v>25</v>
      </c>
      <c r="F2" s="37" t="s">
        <v>26</v>
      </c>
      <c r="G2" s="37" t="s">
        <v>27</v>
      </c>
      <c r="H2" s="37" t="s">
        <v>28</v>
      </c>
      <c r="I2" s="37" t="s">
        <v>29</v>
      </c>
      <c r="J2" s="37" t="s">
        <v>30</v>
      </c>
      <c r="K2" s="37" t="s">
        <v>31</v>
      </c>
      <c r="L2" s="37" t="s">
        <v>32</v>
      </c>
      <c r="M2" s="37" t="s">
        <v>34</v>
      </c>
      <c r="N2" s="37" t="s">
        <v>35</v>
      </c>
      <c r="P2" s="37" t="s">
        <v>36</v>
      </c>
    </row>
    <row r="3" spans="3:19" ht="15.75" x14ac:dyDescent="0.25">
      <c r="C3" s="38" t="s">
        <v>2</v>
      </c>
      <c r="D3" s="40">
        <v>88430</v>
      </c>
      <c r="E3" s="39">
        <v>163946</v>
      </c>
      <c r="F3" s="39">
        <v>176509</v>
      </c>
      <c r="G3" s="39">
        <v>150588</v>
      </c>
      <c r="H3" s="39">
        <v>214704</v>
      </c>
      <c r="I3" s="40">
        <v>163327</v>
      </c>
      <c r="J3" s="40">
        <v>161292</v>
      </c>
      <c r="K3" s="40">
        <v>44699</v>
      </c>
      <c r="L3" s="41">
        <v>250320</v>
      </c>
      <c r="M3" s="41">
        <v>216669.24545454545</v>
      </c>
      <c r="N3" s="41">
        <v>224571.05454545451</v>
      </c>
      <c r="P3" s="48">
        <f>SUM(D3:N3)</f>
        <v>1855055.2999999998</v>
      </c>
      <c r="R3" s="46" t="s">
        <v>40</v>
      </c>
      <c r="S3" s="49">
        <f>P3+P10</f>
        <v>1916291.2999999998</v>
      </c>
    </row>
    <row r="4" spans="3:19" ht="15.75" x14ac:dyDescent="0.25">
      <c r="C4" s="38" t="s">
        <v>3</v>
      </c>
      <c r="D4" s="38">
        <v>225582</v>
      </c>
      <c r="E4" s="39">
        <v>179454</v>
      </c>
      <c r="F4" s="39">
        <v>165491</v>
      </c>
      <c r="G4" s="39">
        <v>271935</v>
      </c>
      <c r="H4" s="39">
        <v>216427</v>
      </c>
      <c r="I4" s="40">
        <v>295587</v>
      </c>
      <c r="J4" s="40">
        <v>94131</v>
      </c>
      <c r="K4" s="40">
        <v>167372</v>
      </c>
      <c r="L4" s="41">
        <v>124608</v>
      </c>
      <c r="M4" s="41">
        <v>177965.69090909092</v>
      </c>
      <c r="N4" s="41">
        <v>269426.77272727271</v>
      </c>
      <c r="P4" s="48">
        <f t="shared" ref="P4:P10" si="0">SUM(D4:N4)</f>
        <v>2187979.4636363639</v>
      </c>
      <c r="R4" s="38" t="s">
        <v>3</v>
      </c>
      <c r="S4" s="49">
        <f>P4</f>
        <v>2187979.4636363639</v>
      </c>
    </row>
    <row r="5" spans="3:19" ht="15.75" x14ac:dyDescent="0.25">
      <c r="C5" s="38" t="s">
        <v>4</v>
      </c>
      <c r="D5" s="40">
        <v>58710</v>
      </c>
      <c r="E5" s="39">
        <v>105605</v>
      </c>
      <c r="F5" s="39">
        <v>166131</v>
      </c>
      <c r="G5" s="39">
        <v>90386</v>
      </c>
      <c r="H5" s="39">
        <v>126462</v>
      </c>
      <c r="I5" s="42"/>
      <c r="J5" s="40">
        <v>27378</v>
      </c>
      <c r="K5" s="40">
        <v>54034</v>
      </c>
      <c r="L5" s="41">
        <v>38340</v>
      </c>
      <c r="M5" s="41">
        <v>65805.345454545459</v>
      </c>
      <c r="N5" s="41">
        <v>73557.55454545455</v>
      </c>
      <c r="P5" s="48">
        <f t="shared" si="0"/>
        <v>806408.9</v>
      </c>
      <c r="R5" s="38" t="s">
        <v>4</v>
      </c>
      <c r="S5" s="49">
        <f t="shared" ref="S5:S9" si="1">P5</f>
        <v>806408.9</v>
      </c>
    </row>
    <row r="6" spans="3:19" ht="15.75" x14ac:dyDescent="0.25">
      <c r="C6" s="38" t="s">
        <v>5</v>
      </c>
      <c r="D6" s="38">
        <v>116073</v>
      </c>
      <c r="E6" s="39">
        <v>42880</v>
      </c>
      <c r="F6" s="39">
        <v>44495</v>
      </c>
      <c r="G6" s="39">
        <v>67522</v>
      </c>
      <c r="H6" s="39">
        <v>92101</v>
      </c>
      <c r="I6" s="42"/>
      <c r="J6" s="40">
        <v>21472</v>
      </c>
      <c r="K6" s="40">
        <v>36520</v>
      </c>
      <c r="L6" s="41">
        <v>68281</v>
      </c>
      <c r="M6" s="41">
        <v>44824.627272727274</v>
      </c>
      <c r="N6" s="41">
        <v>79876.627272727259</v>
      </c>
      <c r="P6" s="48">
        <f t="shared" si="0"/>
        <v>614045.25454545463</v>
      </c>
      <c r="R6" s="38" t="s">
        <v>5</v>
      </c>
      <c r="S6" s="49">
        <f t="shared" si="1"/>
        <v>614045.25454545463</v>
      </c>
    </row>
    <row r="7" spans="3:19" ht="15.75" x14ac:dyDescent="0.25">
      <c r="C7" s="38" t="s">
        <v>6</v>
      </c>
      <c r="D7" s="40">
        <v>73096</v>
      </c>
      <c r="E7" s="39">
        <v>72513</v>
      </c>
      <c r="F7" s="39">
        <v>216496</v>
      </c>
      <c r="G7" s="39">
        <v>10431</v>
      </c>
      <c r="H7" s="39">
        <v>93093</v>
      </c>
      <c r="I7" s="40">
        <v>92503</v>
      </c>
      <c r="J7" s="40">
        <v>46473</v>
      </c>
      <c r="K7" s="43"/>
      <c r="L7" s="41">
        <v>92038</v>
      </c>
      <c r="M7" s="41">
        <v>97303.645454545462</v>
      </c>
      <c r="N7" s="41">
        <v>113070.76000000001</v>
      </c>
      <c r="P7" s="48">
        <f t="shared" si="0"/>
        <v>907017.40545454551</v>
      </c>
      <c r="R7" s="38" t="s">
        <v>6</v>
      </c>
      <c r="S7" s="49">
        <f t="shared" si="1"/>
        <v>907017.40545454551</v>
      </c>
    </row>
    <row r="8" spans="3:19" ht="15.75" x14ac:dyDescent="0.25">
      <c r="C8" s="38" t="s">
        <v>7</v>
      </c>
      <c r="D8" s="40">
        <v>22438</v>
      </c>
      <c r="E8" s="39">
        <v>29188</v>
      </c>
      <c r="F8" s="39">
        <v>53295</v>
      </c>
      <c r="G8" s="39">
        <v>25339</v>
      </c>
      <c r="H8" s="39">
        <v>20760</v>
      </c>
      <c r="I8" s="40">
        <v>87682</v>
      </c>
      <c r="J8" s="40">
        <v>31766</v>
      </c>
      <c r="K8" s="40">
        <v>14244</v>
      </c>
      <c r="L8" s="41">
        <v>25978</v>
      </c>
      <c r="M8" s="41">
        <v>23734.3</v>
      </c>
      <c r="N8" s="41">
        <v>24359</v>
      </c>
      <c r="P8" s="48">
        <f t="shared" si="0"/>
        <v>358783.3</v>
      </c>
      <c r="R8" s="38" t="s">
        <v>7</v>
      </c>
      <c r="S8" s="49">
        <f t="shared" si="1"/>
        <v>358783.3</v>
      </c>
    </row>
    <row r="9" spans="3:19" ht="15.75" x14ac:dyDescent="0.25">
      <c r="C9" s="38" t="s">
        <v>8</v>
      </c>
      <c r="D9" s="38">
        <v>97692</v>
      </c>
      <c r="E9" s="40">
        <v>40871</v>
      </c>
      <c r="F9" s="39">
        <v>93172</v>
      </c>
      <c r="G9" s="39">
        <v>58139</v>
      </c>
      <c r="H9" s="39">
        <v>167613</v>
      </c>
      <c r="I9" s="42"/>
      <c r="J9" s="40">
        <v>93356</v>
      </c>
      <c r="K9" s="40">
        <v>92368</v>
      </c>
      <c r="L9" s="41">
        <v>125648</v>
      </c>
      <c r="M9" s="41">
        <v>92656.2</v>
      </c>
      <c r="N9" s="41">
        <v>149198.97272727272</v>
      </c>
      <c r="P9" s="48">
        <f t="shared" si="0"/>
        <v>1010714.1727272726</v>
      </c>
      <c r="R9" s="38" t="s">
        <v>8</v>
      </c>
      <c r="S9" s="49">
        <f t="shared" si="1"/>
        <v>1010714.1727272726</v>
      </c>
    </row>
    <row r="10" spans="3:19" ht="15.75" x14ac:dyDescent="0.25">
      <c r="C10" s="38" t="s">
        <v>9</v>
      </c>
      <c r="D10" s="40">
        <v>15431</v>
      </c>
      <c r="E10" s="39">
        <v>23470</v>
      </c>
      <c r="F10" s="39">
        <v>22335</v>
      </c>
      <c r="G10" s="38"/>
      <c r="H10" s="38"/>
      <c r="I10" s="42"/>
      <c r="J10" s="38"/>
      <c r="K10" s="43"/>
      <c r="L10" s="38"/>
      <c r="M10" s="41"/>
      <c r="N10" s="41"/>
      <c r="P10" s="48">
        <f t="shared" si="0"/>
        <v>61236</v>
      </c>
    </row>
    <row r="12" spans="3:19" ht="15.75" x14ac:dyDescent="0.25">
      <c r="C12" s="45" t="s">
        <v>17</v>
      </c>
      <c r="D12" s="44">
        <f>SUM(D3:D11)</f>
        <v>697452</v>
      </c>
      <c r="E12" s="44">
        <f t="shared" ref="E12:L12" si="2">SUM(E3:E11)</f>
        <v>657927</v>
      </c>
      <c r="F12" s="44">
        <f t="shared" si="2"/>
        <v>937924</v>
      </c>
      <c r="G12" s="44">
        <f t="shared" si="2"/>
        <v>674340</v>
      </c>
      <c r="H12" s="44">
        <f t="shared" si="2"/>
        <v>931160</v>
      </c>
      <c r="I12" s="44">
        <f t="shared" si="2"/>
        <v>639099</v>
      </c>
      <c r="J12" s="44">
        <f t="shared" si="2"/>
        <v>475868</v>
      </c>
      <c r="K12" s="44">
        <f t="shared" si="2"/>
        <v>409237</v>
      </c>
      <c r="L12" s="44">
        <f t="shared" si="2"/>
        <v>725213</v>
      </c>
      <c r="M12" s="44">
        <v>718959</v>
      </c>
      <c r="N12" s="44">
        <v>934061</v>
      </c>
      <c r="P12" s="44">
        <f>SUM(D12:N12)</f>
        <v>7801240</v>
      </c>
    </row>
    <row r="15" spans="3:19" ht="15.75" x14ac:dyDescent="0.25">
      <c r="C15" s="36" t="s">
        <v>23</v>
      </c>
      <c r="D15" s="37" t="s">
        <v>24</v>
      </c>
      <c r="E15" s="37" t="s">
        <v>25</v>
      </c>
      <c r="F15" s="37" t="s">
        <v>26</v>
      </c>
      <c r="G15" s="37" t="s">
        <v>27</v>
      </c>
      <c r="H15" s="37" t="s">
        <v>28</v>
      </c>
      <c r="I15" s="37" t="s">
        <v>29</v>
      </c>
      <c r="J15" s="37" t="s">
        <v>30</v>
      </c>
      <c r="K15" s="37" t="s">
        <v>31</v>
      </c>
      <c r="L15" s="37" t="s">
        <v>32</v>
      </c>
      <c r="M15" s="37" t="s">
        <v>34</v>
      </c>
      <c r="N15" s="37" t="s">
        <v>35</v>
      </c>
      <c r="P15" s="37" t="s">
        <v>36</v>
      </c>
    </row>
    <row r="16" spans="3:19" ht="15.75" x14ac:dyDescent="0.25">
      <c r="C16" s="38" t="s">
        <v>2</v>
      </c>
      <c r="D16" s="40">
        <v>29148</v>
      </c>
      <c r="E16" s="40">
        <v>137257</v>
      </c>
      <c r="F16" s="40">
        <v>74785</v>
      </c>
      <c r="G16" s="38"/>
      <c r="H16" s="39">
        <v>57377</v>
      </c>
      <c r="I16" s="40">
        <v>225295</v>
      </c>
      <c r="J16" s="40">
        <v>162192</v>
      </c>
      <c r="K16" s="40">
        <v>62707</v>
      </c>
      <c r="L16" s="41">
        <v>151560</v>
      </c>
      <c r="M16" s="41">
        <v>75007.820000000007</v>
      </c>
      <c r="N16" s="41">
        <v>2828.7</v>
      </c>
      <c r="P16" s="48">
        <f>SUM(D16:N16)</f>
        <v>978157.52</v>
      </c>
      <c r="R16" s="46" t="s">
        <v>40</v>
      </c>
      <c r="S16" s="49">
        <f>P16</f>
        <v>978157.52</v>
      </c>
    </row>
    <row r="17" spans="3:19" ht="15.75" x14ac:dyDescent="0.25">
      <c r="C17" s="38" t="s">
        <v>3</v>
      </c>
      <c r="D17" s="40"/>
      <c r="E17" s="40"/>
      <c r="F17" s="40"/>
      <c r="G17" s="38"/>
      <c r="H17" s="39"/>
      <c r="I17" s="40"/>
      <c r="J17" s="40"/>
      <c r="K17" s="40"/>
      <c r="L17" s="41"/>
      <c r="M17" s="41">
        <v>46502</v>
      </c>
      <c r="N17" s="41"/>
      <c r="P17" s="48">
        <f t="shared" ref="P17:P23" si="3">SUM(D17:N17)</f>
        <v>46502</v>
      </c>
      <c r="R17" s="38" t="s">
        <v>3</v>
      </c>
      <c r="S17" s="49">
        <f t="shared" ref="S17:S22" si="4">P17</f>
        <v>46502</v>
      </c>
    </row>
    <row r="18" spans="3:19" ht="15.75" x14ac:dyDescent="0.25">
      <c r="C18" s="38" t="s">
        <v>4</v>
      </c>
      <c r="D18" s="40"/>
      <c r="E18" s="40"/>
      <c r="F18" s="40"/>
      <c r="G18" s="38"/>
      <c r="H18" s="39"/>
      <c r="I18" s="40"/>
      <c r="J18" s="40"/>
      <c r="K18" s="40"/>
      <c r="L18" s="41"/>
      <c r="M18" s="41">
        <v>17548.436363636363</v>
      </c>
      <c r="N18" s="41"/>
      <c r="P18" s="48">
        <f t="shared" si="3"/>
        <v>17548.436363636363</v>
      </c>
      <c r="R18" s="38" t="s">
        <v>4</v>
      </c>
      <c r="S18" s="49">
        <f t="shared" si="4"/>
        <v>17548.436363636363</v>
      </c>
    </row>
    <row r="19" spans="3:19" ht="15.75" x14ac:dyDescent="0.25">
      <c r="C19" s="38" t="s">
        <v>5</v>
      </c>
      <c r="D19" s="40"/>
      <c r="E19" s="40"/>
      <c r="F19" s="40"/>
      <c r="G19" s="38">
        <v>46564</v>
      </c>
      <c r="H19" s="39"/>
      <c r="I19" s="40"/>
      <c r="J19" s="40"/>
      <c r="K19" s="40"/>
      <c r="L19" s="41">
        <v>218301</v>
      </c>
      <c r="M19" s="41">
        <v>109288</v>
      </c>
      <c r="N19" s="41"/>
      <c r="P19" s="48">
        <f t="shared" si="3"/>
        <v>374153</v>
      </c>
      <c r="R19" s="38" t="s">
        <v>5</v>
      </c>
      <c r="S19" s="49">
        <f t="shared" si="4"/>
        <v>374153</v>
      </c>
    </row>
    <row r="20" spans="3:19" ht="15.75" x14ac:dyDescent="0.25">
      <c r="C20" s="38" t="s">
        <v>6</v>
      </c>
      <c r="D20" s="40"/>
      <c r="E20" s="40"/>
      <c r="F20" s="40"/>
      <c r="G20" s="38"/>
      <c r="H20" s="39"/>
      <c r="I20" s="40"/>
      <c r="J20" s="40"/>
      <c r="K20" s="40"/>
      <c r="L20" s="41"/>
      <c r="M20" s="41">
        <v>19814.400000000001</v>
      </c>
      <c r="N20" s="41"/>
      <c r="P20" s="48">
        <f t="shared" si="3"/>
        <v>19814.400000000001</v>
      </c>
      <c r="R20" s="38" t="s">
        <v>6</v>
      </c>
      <c r="S20" s="49">
        <f t="shared" si="4"/>
        <v>19814.400000000001</v>
      </c>
    </row>
    <row r="21" spans="3:19" ht="15.75" x14ac:dyDescent="0.25">
      <c r="C21" s="38" t="s">
        <v>7</v>
      </c>
      <c r="D21" s="40"/>
      <c r="E21" s="40"/>
      <c r="F21" s="40"/>
      <c r="G21" s="38"/>
      <c r="H21" s="39"/>
      <c r="I21" s="40">
        <v>8331</v>
      </c>
      <c r="J21" s="40"/>
      <c r="K21" s="40">
        <v>33738</v>
      </c>
      <c r="L21" s="41">
        <v>30953</v>
      </c>
      <c r="M21" s="41">
        <v>16782.599999999999</v>
      </c>
      <c r="N21" s="41"/>
      <c r="P21" s="48">
        <f t="shared" si="3"/>
        <v>89804.6</v>
      </c>
      <c r="R21" s="38" t="s">
        <v>7</v>
      </c>
      <c r="S21" s="49">
        <f t="shared" si="4"/>
        <v>89804.6</v>
      </c>
    </row>
    <row r="22" spans="3:19" ht="15.75" x14ac:dyDescent="0.25">
      <c r="C22" s="38" t="s">
        <v>8</v>
      </c>
      <c r="D22" s="40"/>
      <c r="E22" s="40"/>
      <c r="F22" s="40">
        <v>189842</v>
      </c>
      <c r="G22" s="38"/>
      <c r="H22" s="39"/>
      <c r="I22" s="40">
        <v>103476</v>
      </c>
      <c r="J22" s="40"/>
      <c r="K22" s="40">
        <v>96286</v>
      </c>
      <c r="L22" s="41">
        <v>127129</v>
      </c>
      <c r="M22" s="41">
        <v>42554.399999999994</v>
      </c>
      <c r="N22" s="41">
        <v>169878.37272727271</v>
      </c>
      <c r="P22" s="48">
        <f t="shared" si="3"/>
        <v>729165.77272727271</v>
      </c>
      <c r="R22" s="38" t="s">
        <v>8</v>
      </c>
      <c r="S22" s="49">
        <f t="shared" si="4"/>
        <v>729165.77272727271</v>
      </c>
    </row>
    <row r="23" spans="3:19" ht="15.75" x14ac:dyDescent="0.25">
      <c r="C23" s="38" t="s">
        <v>9</v>
      </c>
      <c r="D23" s="40"/>
      <c r="E23" s="40"/>
      <c r="F23" s="40"/>
      <c r="G23" s="38"/>
      <c r="H23" s="39"/>
      <c r="I23" s="40"/>
      <c r="J23" s="40"/>
      <c r="K23" s="40"/>
      <c r="L23" s="41"/>
      <c r="M23" s="41"/>
      <c r="N23" s="41"/>
      <c r="P23" s="48">
        <f t="shared" si="3"/>
        <v>0</v>
      </c>
    </row>
    <row r="24" spans="3:19" ht="15.75" x14ac:dyDescent="0.25">
      <c r="C24" s="47" t="s">
        <v>33</v>
      </c>
      <c r="D24" s="40">
        <v>73416.5</v>
      </c>
      <c r="E24" s="40">
        <v>248388.55454545456</v>
      </c>
      <c r="F24" s="40">
        <v>118443.81818181818</v>
      </c>
      <c r="G24" s="40">
        <v>234644.70909090911</v>
      </c>
      <c r="H24" s="40">
        <v>190135.24545454545</v>
      </c>
      <c r="I24" s="40">
        <v>211448.09090909091</v>
      </c>
      <c r="J24" s="40">
        <v>120239</v>
      </c>
      <c r="K24" s="40">
        <v>196360.69090909092</v>
      </c>
      <c r="L24" s="40">
        <v>89144.5</v>
      </c>
      <c r="M24" s="40">
        <v>357693.5</v>
      </c>
      <c r="N24" s="40">
        <v>584548</v>
      </c>
      <c r="P24" s="44">
        <f>SUM(D24:N24)</f>
        <v>2424462.6090909094</v>
      </c>
      <c r="Q24" s="1" t="s">
        <v>39</v>
      </c>
    </row>
    <row r="26" spans="3:19" ht="15.75" x14ac:dyDescent="0.25">
      <c r="C26" s="45" t="s">
        <v>18</v>
      </c>
      <c r="D26" s="44">
        <f>SUM(D16:D23)</f>
        <v>29148</v>
      </c>
      <c r="E26" s="44">
        <f t="shared" ref="E26:N26" si="5">SUM(E16:E23)</f>
        <v>137257</v>
      </c>
      <c r="F26" s="44">
        <f t="shared" si="5"/>
        <v>264627</v>
      </c>
      <c r="G26" s="44">
        <f t="shared" si="5"/>
        <v>46564</v>
      </c>
      <c r="H26" s="44">
        <f t="shared" si="5"/>
        <v>57377</v>
      </c>
      <c r="I26" s="44">
        <f t="shared" si="5"/>
        <v>337102</v>
      </c>
      <c r="J26" s="44">
        <f t="shared" si="5"/>
        <v>162192</v>
      </c>
      <c r="K26" s="44">
        <f t="shared" si="5"/>
        <v>192731</v>
      </c>
      <c r="L26" s="44">
        <f t="shared" si="5"/>
        <v>527943</v>
      </c>
      <c r="M26" s="44">
        <f t="shared" si="5"/>
        <v>327497.65636363637</v>
      </c>
      <c r="N26" s="44">
        <f t="shared" si="5"/>
        <v>172707.07272727272</v>
      </c>
      <c r="P26" s="44">
        <f>SUM(D26:N26)</f>
        <v>2255145.729090909</v>
      </c>
      <c r="Q2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Tracking Vs Monthly Budget</vt:lpstr>
      <vt:lpstr>Checks</vt:lpstr>
      <vt:lpstr>Last Yr June 26</vt:lpstr>
      <vt:lpstr>June-26 Data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Chhabra</dc:creator>
  <cp:lastModifiedBy>Ashish Chhabra</cp:lastModifiedBy>
  <cp:lastPrinted>2026-08-27T20:04:34Z</cp:lastPrinted>
  <dcterms:created xsi:type="dcterms:W3CDTF">2026-04-16T01:36:10Z</dcterms:created>
  <dcterms:modified xsi:type="dcterms:W3CDTF">2026-08-27T20:12:31Z</dcterms:modified>
</cp:coreProperties>
</file>