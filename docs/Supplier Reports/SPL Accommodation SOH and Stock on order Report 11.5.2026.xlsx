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.chhabra\Desktop\Analysis\Reports\SOH REPORTS\SIMBA SOH REPORTS\11.05.2026\"/>
    </mc:Choice>
  </mc:AlternateContent>
  <xr:revisionPtr revIDLastSave="0" documentId="13_ncr:1_{C3CB22DC-2336-4EFE-8ED1-D9F3728749C8}" xr6:coauthVersionLast="47" xr6:coauthVersionMax="47" xr10:uidLastSave="{00000000-0000-0000-0000-000000000000}"/>
  <bookViews>
    <workbookView xWindow="-120" yWindow="-120" windowWidth="29040" windowHeight="15720" xr2:uid="{36EC3DEA-5FE1-4587-86FD-4C348620D6FD}"/>
  </bookViews>
  <sheets>
    <sheet name="Stock Report" sheetId="1" r:id="rId1"/>
    <sheet name="Sheet1" sheetId="2" r:id="rId2"/>
  </sheets>
  <definedNames>
    <definedName name="_xlnm._FilterDatabase" localSheetId="0" hidden="1">'Stock Report'!$A$9:$AE$105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6" i="1"/>
  <c r="T6" i="1"/>
  <c r="S6" i="1"/>
  <c r="N9" i="1"/>
  <c r="O9" i="1"/>
  <c r="P9" i="1"/>
  <c r="Q9" i="1"/>
  <c r="R9" i="1"/>
  <c r="S9" i="1"/>
  <c r="T9" i="1"/>
  <c r="U9" i="1"/>
  <c r="V9" i="1"/>
  <c r="W9" i="1"/>
  <c r="X9" i="1"/>
  <c r="Y9" i="1"/>
  <c r="Z9" i="1"/>
  <c r="M9" i="1"/>
  <c r="N8" i="1"/>
  <c r="O8" i="1"/>
  <c r="P8" i="1"/>
  <c r="Q8" i="1"/>
  <c r="R8" i="1"/>
  <c r="S8" i="1"/>
  <c r="T8" i="1"/>
  <c r="U8" i="1"/>
  <c r="V8" i="1"/>
  <c r="W8" i="1"/>
  <c r="X8" i="1"/>
  <c r="Y8" i="1"/>
  <c r="Z8" i="1"/>
  <c r="M8" i="1"/>
  <c r="B2" i="1"/>
</calcChain>
</file>

<file path=xl/sharedStrings.xml><?xml version="1.0" encoding="utf-8"?>
<sst xmlns="http://schemas.openxmlformats.org/spreadsheetml/2006/main" count="887" uniqueCount="415">
  <si>
    <t>Stock Report in Quantity</t>
  </si>
  <si>
    <t/>
  </si>
  <si>
    <t>31/09/2023</t>
  </si>
  <si>
    <t>Division/Location</t>
  </si>
  <si>
    <t>Stock Group Customer</t>
  </si>
  <si>
    <t>SKU</t>
  </si>
  <si>
    <t>Product</t>
  </si>
  <si>
    <t>SPL Item Group</t>
  </si>
  <si>
    <t>SPL Product Description</t>
  </si>
  <si>
    <t>Customer Stock Code</t>
  </si>
  <si>
    <t>Range</t>
  </si>
  <si>
    <t>Category</t>
  </si>
  <si>
    <t>Sub Category</t>
  </si>
  <si>
    <t>StockType</t>
  </si>
  <si>
    <t>Carton Qty</t>
  </si>
  <si>
    <t>SOH $ @ Sell</t>
  </si>
  <si>
    <t>Sell $</t>
  </si>
  <si>
    <t>SOH</t>
  </si>
  <si>
    <t>Committed</t>
  </si>
  <si>
    <t>Back Ordered</t>
  </si>
  <si>
    <t>Available</t>
  </si>
  <si>
    <t>Total Stock</t>
  </si>
  <si>
    <t>MTD Sales</t>
  </si>
  <si>
    <t>3 Mth Sales</t>
  </si>
  <si>
    <t>6 Mths Sales</t>
  </si>
  <si>
    <t>9 Mths Sales</t>
  </si>
  <si>
    <t>SPL Item Code</t>
  </si>
  <si>
    <t>3017SA</t>
  </si>
  <si>
    <t>NAPKIN 100% POLYESTER NAVY 50x50cm - SPL</t>
  </si>
  <si>
    <t>S-Serviette</t>
  </si>
  <si>
    <t>SERVIETTE NAVY</t>
  </si>
  <si>
    <t>SERV27</t>
  </si>
  <si>
    <t>Accommodation</t>
  </si>
  <si>
    <t>Tableware</t>
  </si>
  <si>
    <t>Serviette</t>
  </si>
  <si>
    <t>BSR</t>
  </si>
  <si>
    <t>3018SA</t>
  </si>
  <si>
    <t>NAPKIN 100% POLYESTER CHARCOAL 50x50cm - SPL</t>
  </si>
  <si>
    <t>SERVIETTE CHARCOAL 20X20 (50X50CM)</t>
  </si>
  <si>
    <t>SERV41</t>
  </si>
  <si>
    <t>3019SA</t>
  </si>
  <si>
    <t>NAPKIN 100% POLYESTER BEIGE 50x50cm - SPL</t>
  </si>
  <si>
    <t>SERVIETTE BEIGE 20X20 (50X50CM)</t>
  </si>
  <si>
    <t>SERV43</t>
  </si>
  <si>
    <t>3031SARFID</t>
  </si>
  <si>
    <t>Laundry Bags Green Polyester Twill</t>
  </si>
  <si>
    <t>S-Linen Bag</t>
  </si>
  <si>
    <t>LAUNDRY BAG STAND</t>
  </si>
  <si>
    <t>LBS01</t>
  </si>
  <si>
    <t>Laundry</t>
  </si>
  <si>
    <t>Laundry Bag</t>
  </si>
  <si>
    <t>3032SARFID</t>
  </si>
  <si>
    <t>SPL Red Laundry Bag RFID</t>
  </si>
  <si>
    <t>3033SARFID</t>
  </si>
  <si>
    <t>Laundry Bags Orange Polyester Twill SPL with RFID</t>
  </si>
  <si>
    <t>3034SA</t>
  </si>
  <si>
    <t>Laundry Bags White Cordless Polyester Twill SPL</t>
  </si>
  <si>
    <t>3034SARFID</t>
  </si>
  <si>
    <t>Laundry Bags White Cordless Polyester Twill SPL with RFID</t>
  </si>
  <si>
    <t>3035SARFID</t>
  </si>
  <si>
    <t>Laundry Bags White Polyester Twill RFID</t>
  </si>
  <si>
    <t>3036SARFID</t>
  </si>
  <si>
    <t>Laundry Bags Yellow Polyester Twill SPL with RFID</t>
  </si>
  <si>
    <t>3037SARFID</t>
  </si>
  <si>
    <t>Laundry Bags Blue Polyester Twill SPL RFID</t>
  </si>
  <si>
    <t>3153SARFID</t>
  </si>
  <si>
    <t>SPL PREMIUM WHITE NAPKIN COTTON-LINEN 52.5X52.5CM RFID</t>
  </si>
  <si>
    <t>3154SA</t>
  </si>
  <si>
    <t>NAPKIN 100% POLYESTER WHITE 50x50cm - SPL</t>
  </si>
  <si>
    <t>3155SA</t>
  </si>
  <si>
    <t>NAPKIN 100% POLYESTER BLACK 50x50cm - SPL</t>
  </si>
  <si>
    <t>3210SARFID</t>
  </si>
  <si>
    <t>Premium Napkin Cotton/ Linen White 64 x 64cm SPL</t>
  </si>
  <si>
    <t>3212SARFID</t>
  </si>
  <si>
    <t>Premium Napkin  Cotton/ Linen 32 x 42cm SPL</t>
  </si>
  <si>
    <t>3488RFIDSPL</t>
  </si>
  <si>
    <t>LINEN HUB LAUNDRY BAG BLACK POLYESTER TWILL SPL</t>
  </si>
  <si>
    <t>L/HUB – LAUNDRY BAG BLACK</t>
  </si>
  <si>
    <t>LHLBB1</t>
  </si>
  <si>
    <t>3491RFIDSPL</t>
  </si>
  <si>
    <t>Bath Towel Charcoal Cotton 75 x 160cm Civeo SPL</t>
  </si>
  <si>
    <t>S-Bath Towel</t>
  </si>
  <si>
    <t>BATH TOWEL CHARCOAL</t>
  </si>
  <si>
    <t>BTC1</t>
  </si>
  <si>
    <t>Towelling</t>
  </si>
  <si>
    <t>Bath Towels</t>
  </si>
  <si>
    <t>3639RFIDSPL</t>
  </si>
  <si>
    <t>Microfibre Glass Cloth 60 x 70cm White SPL</t>
  </si>
  <si>
    <t>S-Tea Towel</t>
  </si>
  <si>
    <t>BATH ROBE MICRO WHITE 7</t>
  </si>
  <si>
    <t>BR7</t>
  </si>
  <si>
    <t>Cloths</t>
  </si>
  <si>
    <t>2764SARFID</t>
  </si>
  <si>
    <t>STD Pillowcases P/C 50/50 40/40 140/100 51 x 76 + 18cm 4mm striped RFID SPL</t>
  </si>
  <si>
    <t>S-Pillow Case</t>
  </si>
  <si>
    <t>PILLOW CASE STD 4MM STRIPE HORIZONTAL RFID</t>
  </si>
  <si>
    <t>PC28R</t>
  </si>
  <si>
    <t>Sheeting</t>
  </si>
  <si>
    <t>Pillowcases</t>
  </si>
  <si>
    <t>2765SARFID</t>
  </si>
  <si>
    <t>King Pillowcases P/C 50/50 40/40 140/100 53 x 93 + 18.5cm 4mm striped RFID SPL–</t>
  </si>
  <si>
    <t>PILLOW CASE KING 4MM STRIPE HORIZONTAL RFID</t>
  </si>
  <si>
    <t>PC36R</t>
  </si>
  <si>
    <t>2724SARFID</t>
  </si>
  <si>
    <t>STD Pillowcases P/C 50/50 40/40 140/100 51 x 76 + 18cm 10mm striped RFID</t>
  </si>
  <si>
    <t>PILLOWCASE STD 10MM HORIZONTAL (75)</t>
  </si>
  <si>
    <t>PC7RFID</t>
  </si>
  <si>
    <t>2635SARFID</t>
  </si>
  <si>
    <t>PILLOWCASES CHARCOAL VAT DYED 50 X 75CM SPL - RFID</t>
  </si>
  <si>
    <t>PILLOWCASES CHARCOAL - RFID</t>
  </si>
  <si>
    <t>PCC1RFID</t>
  </si>
  <si>
    <t>Sheets</t>
  </si>
  <si>
    <t>2725SARFID</t>
  </si>
  <si>
    <t>King Pillowcases P/C 50/50 40/40 140/100 53 x 93+18.5cm 10mm striped RFID</t>
  </si>
  <si>
    <t>PILLOWCASE KING 10MM HORIZONTAL (75)</t>
  </si>
  <si>
    <t>PCK1HR</t>
  </si>
  <si>
    <t>CTP-501A-BWSPLRFID</t>
  </si>
  <si>
    <t>VAT DYED STRIPED POOL TOWEL - BLUE/WHITE - SPL - RFID</t>
  </si>
  <si>
    <t>POOL TOWEL 10 BLUE-RFID</t>
  </si>
  <si>
    <t>PT10AR</t>
  </si>
  <si>
    <t>Beach &amp; Pool Towels</t>
  </si>
  <si>
    <t>CTP-504A-LWSPLRFID</t>
  </si>
  <si>
    <t>VAT DYED STRIPED POOL TOWEL - LATTE/WHITE - SPL - RFID</t>
  </si>
  <si>
    <t>POOL TOWEL 1</t>
  </si>
  <si>
    <t>PT1</t>
  </si>
  <si>
    <t>2717SARFID</t>
  </si>
  <si>
    <t>King Single sheet P/C 50/50 40/40 140/100 210 x 305 50/50 10MM Stripe RSS01 SPL</t>
  </si>
  <si>
    <t>S-Sheet</t>
  </si>
  <si>
    <t>KING Single sheet 210 x 305 C/P 70/30</t>
  </si>
  <si>
    <t>SH24</t>
  </si>
  <si>
    <t>2761SARFID</t>
  </si>
  <si>
    <t>King Single sheet 210 x 305 50/50 40/40 140/100 4MM STRIPE RFID SPL</t>
  </si>
  <si>
    <t>TOP SHEET SINGLE 4MM STRP</t>
  </si>
  <si>
    <t>TSS4</t>
  </si>
  <si>
    <t>2737SA</t>
  </si>
  <si>
    <t>TEA TOWELS C/P 85/15 50x76CM SPL LOGO - RED/BLUE/WHITE</t>
  </si>
  <si>
    <t>TEA TOWEL BLUE/WHITE STRIPE RFID</t>
  </si>
  <si>
    <t>TT02RFID</t>
  </si>
  <si>
    <t>Tea Towels</t>
  </si>
  <si>
    <t>3057SA</t>
  </si>
  <si>
    <t>TEA TOWELS 100% COTTON 50 X 79CM BLUE/ WHITE SPL</t>
  </si>
  <si>
    <t>TEA TOWEL BLUE/WHITE STRIPE (75)</t>
  </si>
  <si>
    <t>TT2</t>
  </si>
  <si>
    <t>3057SARFID</t>
  </si>
  <si>
    <t>TEA TOWELS 100% COTTON 50 X 79CM BLUE/ WHITE SPL RFID 80 wash chip</t>
  </si>
  <si>
    <t>1150SARFID</t>
  </si>
  <si>
    <t>BATH MAT LUXURY 60 X 80 SPL</t>
  </si>
  <si>
    <t>S-Bath Mat</t>
  </si>
  <si>
    <t>BATH MAT 1</t>
  </si>
  <si>
    <t>BM1R</t>
  </si>
  <si>
    <t>Bath Mats</t>
  </si>
  <si>
    <t>2159SARFID</t>
  </si>
  <si>
    <t>Bath sheet Luxury 90 x 180cm SPL</t>
  </si>
  <si>
    <t>S-Bath Sheet</t>
  </si>
  <si>
    <t>BATH SHEET 3 (75)</t>
  </si>
  <si>
    <t>BS3R</t>
  </si>
  <si>
    <t>Bath Sheets</t>
  </si>
  <si>
    <t>2771SARFID</t>
  </si>
  <si>
    <t>King Quilt cover C/P 50/50  40/40 140/100 4mm stripe 273 x 242cm RFID SPL</t>
  </si>
  <si>
    <t>S-Doona Cover</t>
  </si>
  <si>
    <t>DOONA COVER KING STRIPE 04MM</t>
  </si>
  <si>
    <t>DC06</t>
  </si>
  <si>
    <t>Bedding</t>
  </si>
  <si>
    <t>Quilt Covers</t>
  </si>
  <si>
    <t>2887SARFID</t>
  </si>
  <si>
    <t>Quilt cover queen C/P 50/50 40/40  140/100 4mm stripe 252 x 242cm RFID SPL</t>
  </si>
  <si>
    <t>DOONA COVER QUEEN STRIPE 04MM</t>
  </si>
  <si>
    <t>DC11</t>
  </si>
  <si>
    <t>2886SARFID</t>
  </si>
  <si>
    <t>Quilt cover single C/P 50/50  40/40 140/100 4mm stripe 168 x 242cm RFID SPL</t>
  </si>
  <si>
    <t>DOONA COVER SINGLE STRIPE 04MM</t>
  </si>
  <si>
    <t>DC16</t>
  </si>
  <si>
    <t>2586SARFID</t>
  </si>
  <si>
    <t>QUILT COVER P/C 50/50 CHARCOAL165CM X 210CM SPL - RFID</t>
  </si>
  <si>
    <t>QUILT COVER P/C 50/50 CHARCOAL - RFID</t>
  </si>
  <si>
    <t>DCSGL2RFID</t>
  </si>
  <si>
    <t>1149SA</t>
  </si>
  <si>
    <t>FACE WASHER STANDARD 33 X 33 SPL</t>
  </si>
  <si>
    <t>S-Face Washer</t>
  </si>
  <si>
    <t>FACE WASHER 2 (75)</t>
  </si>
  <si>
    <t>FW-2</t>
  </si>
  <si>
    <t>Face Washers</t>
  </si>
  <si>
    <t>1158SARFID</t>
  </si>
  <si>
    <t>Hand Towel Polycore 40 x 80cm GSM 600 RFID  SPL</t>
  </si>
  <si>
    <t>HAND TOWEL 1</t>
  </si>
  <si>
    <t>HT1</t>
  </si>
  <si>
    <t>Hand Towels</t>
  </si>
  <si>
    <t>3161SARFID</t>
  </si>
  <si>
    <t>Pillowcase STD P/C 50/50 50 x 75cm RHPC1 SPL TL730E11</t>
  </si>
  <si>
    <t>PILLOWCASE STD PLAIN (75)</t>
  </si>
  <si>
    <t>PC1RFID</t>
  </si>
  <si>
    <t>3163SARFID</t>
  </si>
  <si>
    <t>Pillowcase King P/C 50/50 53 x 93cm RHPC2 SPL TL730E11</t>
  </si>
  <si>
    <t>PILLOWCASE - KING</t>
  </si>
  <si>
    <t>HPC2</t>
  </si>
  <si>
    <t>2460SARFID</t>
  </si>
  <si>
    <t>King sheet 305 x 305cm C/P 70/30 SH - 15 SPL</t>
  </si>
  <si>
    <t>SHEET KING 2 (75)</t>
  </si>
  <si>
    <t>SH15</t>
  </si>
  <si>
    <t>2459SARFID</t>
  </si>
  <si>
    <t>Queen sheet 260 x 305cm C/P 70/30 SH20 SPL</t>
  </si>
  <si>
    <t>Queen Sheet - 260 x 305cm</t>
  </si>
  <si>
    <t>SH20</t>
  </si>
  <si>
    <t>2744SARFID</t>
  </si>
  <si>
    <t>quilt cover king P/C 50/50 40/40 140/100 1cm stripe 273 x 242cm P/C 50/50 SPL RFID</t>
  </si>
  <si>
    <t>DUVETCOVER KING 10MM (75)</t>
  </si>
  <si>
    <t>TBA64</t>
  </si>
  <si>
    <t>2675SARFID</t>
  </si>
  <si>
    <t>QUEEN QUILT COVER P/C 50/50  40/40 140/100 242CM X 252CM 10MM SATEEN STRIPE</t>
  </si>
  <si>
    <t>DUVETCOVER QUEEN 10MM (75)</t>
  </si>
  <si>
    <t>TBA65</t>
  </si>
  <si>
    <t>2722SARFID</t>
  </si>
  <si>
    <t>King sheet P/C 50/50 40/40 140/100 305 x 305cm 10mm striped RFID</t>
  </si>
  <si>
    <t>TOP SHEET KING 1CM -RFID</t>
  </si>
  <si>
    <t>TSK1RFID</t>
  </si>
  <si>
    <t>2763SARFID</t>
  </si>
  <si>
    <t>King sheet P/C 50/50 40/40 140/100 305 x 305cm 4mm striped RFID SPL</t>
  </si>
  <si>
    <t>TOP SHEET KING 4MM RFID</t>
  </si>
  <si>
    <t>TSK04</t>
  </si>
  <si>
    <t>2718SARFID</t>
  </si>
  <si>
    <t>Queen sheet P/C 50/50 40/40 140/100 260 x 305cm 10mm striped RFID</t>
  </si>
  <si>
    <t>TOP SHEET QUEEN 1CM STRP</t>
  </si>
  <si>
    <t>TSQ1</t>
  </si>
  <si>
    <t>2762SARFID</t>
  </si>
  <si>
    <t>Queen sheet P/C 50/50 40/40 140/100 260 x 305cm 4mm striped RFID SPL</t>
  </si>
  <si>
    <t>TOP SHEET QUEEN 4MM STRP</t>
  </si>
  <si>
    <t>TSQ4</t>
  </si>
  <si>
    <t>2834SA</t>
  </si>
  <si>
    <t>Face Washer Cotton 36 x 39 Crystalbrook SPL</t>
  </si>
  <si>
    <t>FACE TOWEL CRYSTALBROOK</t>
  </si>
  <si>
    <t>FTBR3</t>
  </si>
  <si>
    <t>INDENT</t>
  </si>
  <si>
    <t>2837SARFID</t>
  </si>
  <si>
    <t>Queen sheet 255 x 305cm P/C 50/50 40/40 140/100 10mm stripe sheeting Crystalbrook SPL</t>
  </si>
  <si>
    <t>QUEEN SHEET CRYSTALBROOK</t>
  </si>
  <si>
    <t>TBA541</t>
  </si>
  <si>
    <t>2839SARFID</t>
  </si>
  <si>
    <t>Pool Towel Bailey Orange/ White Stripe 75 x 177cm TBA529  Crystalbrook SPL -RFID</t>
  </si>
  <si>
    <t>POOL TOWEL CRYSTALBROOK</t>
  </si>
  <si>
    <t>TBA529</t>
  </si>
  <si>
    <t>2840SARFID</t>
  </si>
  <si>
    <t>Pool Towel Riley Blue/ White Stripe 75 x 177cm BTBR5  Crystalbrook riley - RFID</t>
  </si>
  <si>
    <t>BTBR5</t>
  </si>
  <si>
    <t>2841SARFID</t>
  </si>
  <si>
    <t>Bath Robe Bailey printed 100% RAYON Crystalbrook SPL - RFID</t>
  </si>
  <si>
    <t>S-Bath Robe</t>
  </si>
  <si>
    <t>BATH ROBE CRYSTALBROOK FLYNN</t>
  </si>
  <si>
    <t>TBA587</t>
  </si>
  <si>
    <t>Apparel</t>
  </si>
  <si>
    <t>Bath Robes</t>
  </si>
  <si>
    <t>2869SARFID</t>
  </si>
  <si>
    <t>Bath Robe Printed 100% Rayon Flynn Crystalbrook SPL - RFID</t>
  </si>
  <si>
    <t>2871SARFID</t>
  </si>
  <si>
    <t>Pool Towel Flynn Pink/  White Stripe 75 x 177cm TBA586  CrystalbrooK - RFID</t>
  </si>
  <si>
    <t>POOL TOWEL PINK CRYSTALBROOK</t>
  </si>
  <si>
    <t>TBA586</t>
  </si>
  <si>
    <t>3015SARFID</t>
  </si>
  <si>
    <t>Queen sheets - sateen C/P 80/20  Crystalbrook SPL - RFID</t>
  </si>
  <si>
    <t xml:space="preserve">QUEEN SHEET CRYSTALBROOK
</t>
  </si>
  <si>
    <t>3514RFIDSPL</t>
  </si>
  <si>
    <t>KING SINGLE SHEET C/P 80/20 210 X 305CM ELYSIUM SPL</t>
  </si>
  <si>
    <t>ELYS - SHEET KING RFID</t>
  </si>
  <si>
    <t>ELSHK1</t>
  </si>
  <si>
    <t>3516RFIDSPL</t>
  </si>
  <si>
    <t>QUEEN SHEET C/P 80/20 260 X 305CM ELYSIUM SPL</t>
  </si>
  <si>
    <t>ELYS - SHEET QUEEN RFID</t>
  </si>
  <si>
    <t>ELSHQ1</t>
  </si>
  <si>
    <t>3518RFIDSPL</t>
  </si>
  <si>
    <t>KING SHEET C/P 80/20 305 X 305CM ELYSIUM SPL</t>
  </si>
  <si>
    <t>ELYS - SHEET SINGLE K RFID</t>
  </si>
  <si>
    <t>ELSHS1</t>
  </si>
  <si>
    <t>3520RFIDSPL</t>
  </si>
  <si>
    <t>STD PILLOWCASE C/P 80/20 51 X 76CM ELYSIUM SPL</t>
  </si>
  <si>
    <t>ELYS - PILLOWCASE RFID</t>
  </si>
  <si>
    <t>ELPCS1</t>
  </si>
  <si>
    <t>3522RFIDSPL</t>
  </si>
  <si>
    <t>KING PILLOWCASE C/P 80/20 53 X 93CM ELYSIUM SPL</t>
  </si>
  <si>
    <t>ELYS - PILLOWCASE KING RFID</t>
  </si>
  <si>
    <t>ELPCK1</t>
  </si>
  <si>
    <t>3525RFIDSPL</t>
  </si>
  <si>
    <t>King Quilt Cover C/P 80/20 263 x 242cm Elysium SPL</t>
  </si>
  <si>
    <t>ELYS – DOONA COVER KING RFID</t>
  </si>
  <si>
    <t>ELDCK1</t>
  </si>
  <si>
    <t>3581RFIDSPL</t>
  </si>
  <si>
    <t>Face Washer Cotton  33 x 33cm Linen Hub SPL</t>
  </si>
  <si>
    <t>LINEN HUB FACEWASHER</t>
  </si>
  <si>
    <t>DHFW1</t>
  </si>
  <si>
    <t>3582RFIDSPL</t>
  </si>
  <si>
    <t> Hand Towel Cotton 40 x 80cm Linen Hub SPL</t>
  </si>
  <si>
    <t>S-Hand Towel</t>
  </si>
  <si>
    <t>LINEN HUB HAND TOWEL</t>
  </si>
  <si>
    <t>DHHT1</t>
  </si>
  <si>
    <t>3583RFIDSPL</t>
  </si>
  <si>
    <t>Bath Towel Cotton 75 x 150cm Linen Hub SPL</t>
  </si>
  <si>
    <t>LINEN HUB BATH TOWEL</t>
  </si>
  <si>
    <t>DHBT1</t>
  </si>
  <si>
    <t>3584RFIDSPL</t>
  </si>
  <si>
    <t>Trolley Cover Ripstop Polyester 68 x 96 x 141cm Royal Blue Greenslopes SPL</t>
  </si>
  <si>
    <t>S-Miscellaneous</t>
  </si>
  <si>
    <t>TROLLEY COVER</t>
  </si>
  <si>
    <t>TRLYCOV</t>
  </si>
  <si>
    <t>Other</t>
  </si>
  <si>
    <t>Miscellaneous</t>
  </si>
  <si>
    <t>3641RFIDSPL</t>
  </si>
  <si>
    <t>Queen Quilt Cover C/P 80/20 242 x 242cm Elysium SPL</t>
  </si>
  <si>
    <t>ELYS – DOONA COVER QUEEN RFID</t>
  </si>
  <si>
    <t>ELDCQ1</t>
  </si>
  <si>
    <t>CHI-EUP-EMFI8RFID</t>
  </si>
  <si>
    <t>KING PILLOWCASES 52 X 92CM C/P 80/20 FIRM SPL 80 wash chip</t>
  </si>
  <si>
    <t>PCASE KING FIRM</t>
  </si>
  <si>
    <t>PCKF1</t>
  </si>
  <si>
    <t>CHI-EUP-EMSO8RFID</t>
  </si>
  <si>
    <t>KING PILLOWCASES 52 X 92CM C/P 80/20 SOFT SPL 80 wash chip</t>
  </si>
  <si>
    <t>PCASE KING SOFT</t>
  </si>
  <si>
    <t>PCKS1</t>
  </si>
  <si>
    <t>CHI-STEM-FI8RFID</t>
  </si>
  <si>
    <t>STD PILLOWCASES 52 X 68CM C/P 80/20 FIRM SPL 80 wash chip</t>
  </si>
  <si>
    <t>PCASE STD FIRM RFID</t>
  </si>
  <si>
    <t>PCSF1</t>
  </si>
  <si>
    <t>CHI-STEM-SO8RFID</t>
  </si>
  <si>
    <t>STD PILLOWCASES 52 X 68CM C/P 80/20 SOFT SPL 80 wash chip</t>
  </si>
  <si>
    <t>PCASE STD SOFT RFID</t>
  </si>
  <si>
    <t>PCSS1</t>
  </si>
  <si>
    <t>LABEL-SPL</t>
  </si>
  <si>
    <t>SPL LABEL</t>
  </si>
  <si>
    <t>Label</t>
  </si>
  <si>
    <t>TL730E21H</t>
  </si>
  <si>
    <t>LinTRAK C10S-H M730  SPL HEAT SEAL</t>
  </si>
  <si>
    <t>RFID</t>
  </si>
  <si>
    <t>2842SARFID</t>
  </si>
  <si>
    <t>Bath mat jacquard 100% cotton 53 x 84cm Crystalbrook SPL - RFID</t>
  </si>
  <si>
    <t>BATH MAT CRYSTALBROOK</t>
  </si>
  <si>
    <t>BMBR4</t>
  </si>
  <si>
    <t>2593SARFID</t>
  </si>
  <si>
    <t>BATH MAT VAT DYED CHARCOAL 51X75CM SPL - RFID</t>
  </si>
  <si>
    <t>BATH MAT CHARCOAL</t>
  </si>
  <si>
    <t>BMC1</t>
  </si>
  <si>
    <t>2806SARFID</t>
  </si>
  <si>
    <t>Bath robe microfiber charcoal SPL</t>
  </si>
  <si>
    <t>BATH ROBE MICROFIBRE CHARCOAL (75)</t>
  </si>
  <si>
    <t>BR12</t>
  </si>
  <si>
    <t>2805SARFID</t>
  </si>
  <si>
    <t>Bath robe microfiber white SPL  RFID</t>
  </si>
  <si>
    <t>BATH ROBE MICROFIBRE WHITE 7 (75)</t>
  </si>
  <si>
    <t>BR7R</t>
  </si>
  <si>
    <t>2835SARFID</t>
  </si>
  <si>
    <t>Bath Sheet Cotton 100 x 197 Crystalbrook SPL</t>
  </si>
  <si>
    <t>BATH SHEET CRYSTALBROOK</t>
  </si>
  <si>
    <t>BSBR3</t>
  </si>
  <si>
    <t>2166SARFID</t>
  </si>
  <si>
    <t>BATH TOWEL LUX 70X140CM POLYCORE SPL</t>
  </si>
  <si>
    <t>BATH TOWEL 4</t>
  </si>
  <si>
    <t>BT4</t>
  </si>
  <si>
    <t>2832SARFID</t>
  </si>
  <si>
    <t>Bath Towel Cotton 76 x 163cm Crystalbrook SPL</t>
  </si>
  <si>
    <t>BATH TOWEL CRYSTALBROOK</t>
  </si>
  <si>
    <t>BTBR4</t>
  </si>
  <si>
    <t>2376SARFID</t>
  </si>
  <si>
    <t>BATH TOWEL POLYCORE COMBED 70X150 GSM 656 SPL</t>
  </si>
  <si>
    <t>BATH TOWEL 2 (75)</t>
  </si>
  <si>
    <t>BTQLR</t>
  </si>
  <si>
    <t>1149SARFID</t>
  </si>
  <si>
    <t>FACE WASHER STANDARD 33 X 33 LINEN HUB SPL</t>
  </si>
  <si>
    <t>2833SARFID</t>
  </si>
  <si>
    <t>Hand Towel Cotton 50 x 88cm  Crystalbrook SPL</t>
  </si>
  <si>
    <t>HAND TOWEL CRYSTALBROOK</t>
  </si>
  <si>
    <t>HTBR3</t>
  </si>
  <si>
    <t>2836SARFID</t>
  </si>
  <si>
    <t>King single sheet  210 x 305cm P/C 50/50 10mm stripe sheeting Crystalbrook SPL</t>
  </si>
  <si>
    <t>KING SINGLE SHEET CRYSTALBROOK</t>
  </si>
  <si>
    <t>SHSBR1</t>
  </si>
  <si>
    <t>2902SARFID</t>
  </si>
  <si>
    <t>Quilt cover Queen Charcoal  P/C VAT dyed - RFID</t>
  </si>
  <si>
    <t>QUILT COVER QUEEN CHARCOAL - RFID</t>
  </si>
  <si>
    <t>QD-C1RFID</t>
  </si>
  <si>
    <t>2391SA</t>
  </si>
  <si>
    <t>Caress serviettes 50 x 50cm100% polyester</t>
  </si>
  <si>
    <t>SERVIETTE WHT CARESS 20X20 (50X50CM)</t>
  </si>
  <si>
    <t>SERV10</t>
  </si>
  <si>
    <t>2856SA</t>
  </si>
  <si>
    <t>Serviettes 100% cotton 52 x 52cm white with red stripe SPL</t>
  </si>
  <si>
    <t>SERVIETTE RED STRIPE</t>
  </si>
  <si>
    <t>SERV49</t>
  </si>
  <si>
    <t>2760SARFID</t>
  </si>
  <si>
    <t>KING Single sheet 210 x 305 C/P 70/30 SH24 SPL</t>
  </si>
  <si>
    <t>3013SARFID</t>
  </si>
  <si>
    <t>king sheets C/P 80/20 sateen 305 x 305cm Crystalbrook SPL - RFID</t>
  </si>
  <si>
    <t xml:space="preserve">KING SHEET CRYSTALBROOK
</t>
  </si>
  <si>
    <t>SHKBR1</t>
  </si>
  <si>
    <t>2636SARFID</t>
  </si>
  <si>
    <t>SHEET KING SINGLE CHARCOAL VAT DYED 203 X 302CM SPL - RFID</t>
  </si>
  <si>
    <t>SHEET KING SINGLE CHARCOAL</t>
  </si>
  <si>
    <t>SHKSC1</t>
  </si>
  <si>
    <t>2901SARFID</t>
  </si>
  <si>
    <t>Sheet Queen Charcoal P/C 50/50 18/18 60/60  VAT dyed 258cm x302cm - RFID</t>
  </si>
  <si>
    <t>SHEET QUEEN CHARCOAL</t>
  </si>
  <si>
    <t>SHQC1</t>
  </si>
  <si>
    <t>3014SARFID</t>
  </si>
  <si>
    <t>king single sheets C/P 80/20 sateen 210 x 305cm Crystalbrook SPL - RFID</t>
  </si>
  <si>
    <t>2851SARFID</t>
  </si>
  <si>
    <t>STD trolley liner navy with green webbing 100% polyester 72 - RFID</t>
  </si>
  <si>
    <t>TROLLEY LINER BLUE XXL-RFID</t>
  </si>
  <si>
    <t>TBA437</t>
  </si>
  <si>
    <t>Cover</t>
  </si>
  <si>
    <t>2743SARFID</t>
  </si>
  <si>
    <t>quilt cover single P/C 50/50 40/40 140/100 1cm stripe 168 x 242cm P/C 50/50 SPL</t>
  </si>
  <si>
    <t>DUVETCOVER SINGLE 10MM (75)</t>
  </si>
  <si>
    <t>TBA66</t>
  </si>
  <si>
    <t>1755053RFIDSPL</t>
  </si>
  <si>
    <t>THEATRE JACKET WARM UP 3XL NAVY P/C 65/35 RHJAC06 SPL</t>
  </si>
  <si>
    <t>Clothing-Top</t>
  </si>
  <si>
    <t>JACKET STUD BLUE WP 3XL SAH</t>
  </si>
  <si>
    <t>JSB1</t>
  </si>
  <si>
    <t>Healthcare</t>
  </si>
  <si>
    <t>Scrubs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</si>
</sst>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&quot;$&quot;#,##0.00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Aptos Narrow"/>
      <family val="2"/>
    </font>
    <font>
      <b/>
      <sz val="11"/>
      <color rgb="FFFF0000"/>
      <name val="Calibri"/>
      <family val="2"/>
      <scheme val="minor"/>
    </font>
    <font>
      <b/>
      <sz val="11"/>
      <color rgb="FF6B728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auto="1"/>
      </left>
      <right style="thin">
        <color rgb="FF000000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/>
      <bottom/>
      <diagonal/>
    </border>
    <border>
      <left style="dashed">
        <color auto="1"/>
      </left>
      <right/>
      <top style="thin">
        <color rgb="FF000000"/>
      </top>
      <bottom style="dashed">
        <color auto="1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dashed">
        <color auto="1"/>
      </top>
      <bottom style="dashed">
        <color auto="1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 style="dash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 style="dashed">
        <color auto="1"/>
      </bottom>
      <diagonal/>
    </border>
  </borders>
  <cellStyleXfs count="2">
    <xf numFmtId="0" fontId="0" fillId="0" borderId="0"/>
    <xf numFmtId="0" fontId="8" fillId="0" borderId="0"/>
  </cellStyleXfs>
  <cellXfs count="1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4" fontId="5" fillId="2" borderId="6" xfId="0" applyNumberFormat="1" applyFont="1" applyFill="1" applyBorder="1"/>
    <xf numFmtId="4" fontId="5" fillId="2" borderId="7" xfId="0" applyNumberFormat="1" applyFont="1" applyFill="1" applyBorder="1"/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18" xfId="0" applyFont="1" applyFill="1" applyBorder="1"/>
    <xf numFmtId="0" fontId="6" fillId="4" borderId="0" xfId="0" applyFont="1" applyFill="1" applyAlignment="1">
      <alignment horizontal="center"/>
    </xf>
    <xf numFmtId="165" fontId="6" fillId="4" borderId="18" xfId="0" applyNumberFormat="1" applyFont="1" applyFill="1" applyBorder="1" applyAlignment="1">
      <alignment horizontal="center"/>
    </xf>
    <xf numFmtId="3" fontId="0" fillId="0" borderId="19" xfId="0" applyNumberFormat="1" applyBorder="1"/>
    <xf numFmtId="3" fontId="0" fillId="0" borderId="20" xfId="0" applyNumberFormat="1" applyBorder="1"/>
    <xf numFmtId="0" fontId="1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3" fontId="0" fillId="0" borderId="20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0" fillId="0" borderId="22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5" borderId="27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vertical="center"/>
    </xf>
    <xf numFmtId="0" fontId="1" fillId="3" borderId="29" xfId="0" applyFont="1" applyFill="1" applyBorder="1" applyAlignment="1">
      <alignment horizontal="center"/>
    </xf>
    <xf numFmtId="3" fontId="0" fillId="0" borderId="30" xfId="0" applyNumberFormat="1" applyBorder="1" applyAlignment="1">
      <alignment vertical="center"/>
    </xf>
    <xf numFmtId="0" fontId="0" fillId="0" borderId="29" xfId="0" applyBorder="1"/>
    <xf numFmtId="3" fontId="0" fillId="0" borderId="23" xfId="0" applyNumberFormat="1" applyBorder="1" applyAlignment="1">
      <alignment vertic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4" fontId="7" fillId="0" borderId="0" xfId="0" applyNumberFormat="1" applyFont="1"/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6" fontId="1" fillId="3" borderId="13" xfId="0" applyNumberFormat="1" applyFont="1" applyFill="1" applyBorder="1" applyAlignment="1">
      <alignment horizontal="center"/>
    </xf>
    <xf numFmtId="166" fontId="0" fillId="0" borderId="20" xfId="0" applyNumberFormat="1" applyBorder="1"/>
    <xf numFmtId="166" fontId="0" fillId="0" borderId="19" xfId="0" applyNumberFormat="1" applyBorder="1"/>
    <xf numFmtId="166" fontId="0" fillId="0" borderId="0" xfId="0" applyNumberFormat="1"/>
    <xf numFmtId="4" fontId="5" fillId="2" borderId="8" xfId="0" applyNumberFormat="1" applyFont="1" applyFill="1" applyBorder="1"/>
    <xf numFmtId="0" fontId="6" fillId="4" borderId="17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3" fontId="0" fillId="4" borderId="37" xfId="0" applyNumberFormat="1" applyFill="1" applyBorder="1" applyAlignment="1">
      <alignment vertical="center"/>
    </xf>
    <xf numFmtId="3" fontId="0" fillId="4" borderId="38" xfId="0" applyNumberFormat="1" applyFill="1" applyBorder="1" applyAlignment="1">
      <alignment vertical="center"/>
    </xf>
    <xf numFmtId="0" fontId="0" fillId="4" borderId="0" xfId="0" applyFill="1"/>
    <xf numFmtId="3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0" xfId="0" applyNumberFormat="1"/>
    <xf numFmtId="3" fontId="0" fillId="0" borderId="29" xfId="0" applyNumberFormat="1" applyBorder="1"/>
    <xf numFmtId="164" fontId="0" fillId="0" borderId="0" xfId="0" applyNumberFormat="1"/>
    <xf numFmtId="3" fontId="6" fillId="4" borderId="18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3" fontId="0" fillId="6" borderId="19" xfId="0" applyNumberFormat="1" applyFill="1" applyBorder="1"/>
    <xf numFmtId="165" fontId="0" fillId="6" borderId="19" xfId="0" applyNumberFormat="1" applyFill="1" applyBorder="1"/>
    <xf numFmtId="166" fontId="0" fillId="6" borderId="19" xfId="0" applyNumberFormat="1" applyFill="1" applyBorder="1"/>
    <xf numFmtId="3" fontId="0" fillId="6" borderId="19" xfId="0" applyNumberFormat="1" applyFill="1" applyBorder="1" applyAlignment="1">
      <alignment vertical="center"/>
    </xf>
    <xf numFmtId="3" fontId="0" fillId="6" borderId="22" xfId="0" applyNumberFormat="1" applyFill="1" applyBorder="1" applyAlignment="1">
      <alignment vertical="center"/>
    </xf>
    <xf numFmtId="3" fontId="0" fillId="6" borderId="37" xfId="0" applyNumberFormat="1" applyFill="1" applyBorder="1" applyAlignment="1">
      <alignment vertical="center"/>
    </xf>
    <xf numFmtId="3" fontId="0" fillId="6" borderId="23" xfId="0" applyNumberFormat="1" applyFill="1" applyBorder="1" applyAlignment="1">
      <alignment vertical="center"/>
    </xf>
    <xf numFmtId="3" fontId="0" fillId="6" borderId="30" xfId="0" applyNumberFormat="1" applyFill="1" applyBorder="1" applyAlignment="1">
      <alignment vertical="center"/>
    </xf>
    <xf numFmtId="0" fontId="0" fillId="6" borderId="0" xfId="0" applyFill="1"/>
    <xf numFmtId="3" fontId="0" fillId="7" borderId="19" xfId="0" applyNumberFormat="1" applyFill="1" applyBorder="1"/>
    <xf numFmtId="3" fontId="0" fillId="8" borderId="19" xfId="0" applyNumberFormat="1" applyFill="1" applyBorder="1"/>
    <xf numFmtId="3" fontId="0" fillId="9" borderId="19" xfId="0" applyNumberFormat="1" applyFill="1" applyBorder="1"/>
    <xf numFmtId="0" fontId="9" fillId="10" borderId="10" xfId="0" applyFont="1" applyFill="1" applyBorder="1"/>
    <xf numFmtId="3" fontId="9" fillId="0" borderId="19" xfId="0" applyNumberFormat="1" applyFont="1" applyBorder="1"/>
    <xf numFmtId="3" fontId="0" fillId="8" borderId="22" xfId="0" applyNumberFormat="1" applyFill="1" applyBorder="1"/>
    <xf numFmtId="3" fontId="0" fillId="0" borderId="22" xfId="0" applyNumberFormat="1" applyBorder="1"/>
    <xf numFmtId="3" fontId="0" fillId="7" borderId="22" xfId="0" applyNumberFormat="1" applyFill="1" applyBorder="1"/>
    <xf numFmtId="3" fontId="0" fillId="8" borderId="23" xfId="0" applyNumberFormat="1" applyFill="1" applyBorder="1"/>
    <xf numFmtId="3" fontId="0" fillId="0" borderId="23" xfId="0" applyNumberFormat="1" applyBorder="1"/>
    <xf numFmtId="0" fontId="0" fillId="0" borderId="16" xfId="0" applyBorder="1"/>
    <xf numFmtId="3" fontId="0" fillId="11" borderId="19" xfId="0" applyNumberFormat="1" applyFill="1" applyBorder="1"/>
    <xf numFmtId="3" fontId="0" fillId="11" borderId="22" xfId="0" applyNumberFormat="1" applyFill="1" applyBorder="1"/>
    <xf numFmtId="0" fontId="0" fillId="11" borderId="16" xfId="0" applyFill="1" applyBorder="1"/>
    <xf numFmtId="0" fontId="0" fillId="11" borderId="0" xfId="0" applyFill="1"/>
    <xf numFmtId="165" fontId="0" fillId="11" borderId="19" xfId="0" applyNumberFormat="1" applyFill="1" applyBorder="1"/>
    <xf numFmtId="166" fontId="0" fillId="11" borderId="19" xfId="0" applyNumberFormat="1" applyFill="1" applyBorder="1"/>
    <xf numFmtId="3" fontId="0" fillId="11" borderId="19" xfId="0" applyNumberFormat="1" applyFill="1" applyBorder="1" applyAlignment="1">
      <alignment vertical="center"/>
    </xf>
    <xf numFmtId="3" fontId="0" fillId="11" borderId="22" xfId="0" applyNumberFormat="1" applyFill="1" applyBorder="1" applyAlignment="1">
      <alignment vertical="center"/>
    </xf>
    <xf numFmtId="3" fontId="0" fillId="11" borderId="37" xfId="0" applyNumberFormat="1" applyFill="1" applyBorder="1" applyAlignment="1">
      <alignment vertical="center"/>
    </xf>
    <xf numFmtId="3" fontId="0" fillId="11" borderId="23" xfId="0" applyNumberFormat="1" applyFill="1" applyBorder="1" applyAlignment="1">
      <alignment vertical="center"/>
    </xf>
    <xf numFmtId="3" fontId="0" fillId="11" borderId="30" xfId="0" applyNumberFormat="1" applyFill="1" applyBorder="1" applyAlignment="1">
      <alignment vertical="center"/>
    </xf>
    <xf numFmtId="3" fontId="0" fillId="8" borderId="0" xfId="0" applyNumberFormat="1" applyFill="1"/>
    <xf numFmtId="0" fontId="0" fillId="11" borderId="23" xfId="0" applyFill="1" applyBorder="1"/>
    <xf numFmtId="0" fontId="0" fillId="0" borderId="23" xfId="0" applyBorder="1"/>
    <xf numFmtId="3" fontId="0" fillId="11" borderId="0" xfId="0" applyNumberFormat="1" applyFill="1"/>
    <xf numFmtId="0" fontId="0" fillId="0" borderId="19" xfId="0" applyBorder="1"/>
    <xf numFmtId="0" fontId="0" fillId="11" borderId="19" xfId="0" applyFill="1" applyBorder="1"/>
    <xf numFmtId="3" fontId="0" fillId="6" borderId="0" xfId="0" applyNumberFormat="1" applyFill="1"/>
    <xf numFmtId="0" fontId="10" fillId="0" borderId="19" xfId="0" applyFont="1" applyBorder="1"/>
  </cellXfs>
  <cellStyles count="2">
    <cellStyle name="Normal" xfId="0" builtinId="0"/>
    <cellStyle name="Normal 2" xfId="1" xr:uid="{48BD1107-95FF-4157-83C8-542CB9C8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11175" cy="666750"/>
    <xdr:pic>
      <xdr:nvPicPr>
        <xdr:cNvPr id="2" name="Picture 8_Copy_Copy_Copy" descr="image2.png">
          <a:extLst>
            <a:ext uri="{FF2B5EF4-FFF2-40B4-BE49-F238E27FC236}">
              <a16:creationId xmlns:a16="http://schemas.microsoft.com/office/drawing/2014/main" id="{9D307A99-9F2B-4E8B-BBC3-8D5BCC3B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/>
      </xdr:blipFill>
      <xdr:spPr>
        <a:xfrm>
          <a:off x="647700" y="19050"/>
          <a:ext cx="5111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4C7E-CC38-4D86-8ACC-E13F321D38CC}">
  <dimension ref="A1:AE1963"/>
  <sheetViews>
    <sheetView tabSelected="1" workbookViewId="0">
      <pane ySplit="9" topLeftCell="A10" activePane="bottomLeft" state="frozen"/>
      <selection pane="bottomLeft" activeCell="D18" sqref="D18"/>
    </sheetView>
  </sheetViews>
  <sheetFormatPr defaultRowHeight="15" customHeight="1"/>
  <cols>
    <col min="1" max="1" width="24.140625" bestFit="1" customWidth="1"/>
    <col min="2" max="2" width="80.42578125" customWidth="1"/>
    <col min="3" max="3" width="15.5703125" bestFit="1" customWidth="1"/>
    <col min="4" max="4" width="48.140625" customWidth="1"/>
    <col min="5" max="5" width="20" bestFit="1" customWidth="1"/>
    <col min="6" max="6" width="15.7109375" bestFit="1" customWidth="1"/>
    <col min="7" max="7" width="10.140625" bestFit="1" customWidth="1"/>
    <col min="8" max="8" width="19.42578125" bestFit="1" customWidth="1"/>
    <col min="9" max="9" width="10" hidden="1" customWidth="1"/>
    <col min="10" max="10" width="11.7109375" hidden="1" customWidth="1"/>
    <col min="11" max="11" width="12.140625" hidden="1" customWidth="1"/>
    <col min="12" max="12" width="6.5703125" style="62" bestFit="1" customWidth="1"/>
    <col min="13" max="13" width="11.28515625" style="62" bestFit="1" customWidth="1"/>
    <col min="14" max="14" width="11" bestFit="1" customWidth="1"/>
    <col min="15" max="15" width="12.85546875" bestFit="1" customWidth="1"/>
    <col min="16" max="16" width="11.28515625" bestFit="1" customWidth="1"/>
    <col min="17" max="17" width="3.28515625" bestFit="1" customWidth="1"/>
    <col min="18" max="18" width="11.28515625" bestFit="1" customWidth="1"/>
    <col min="19" max="19" width="9.5703125" bestFit="1" customWidth="1"/>
    <col min="20" max="20" width="12.5703125" customWidth="1"/>
    <col min="21" max="21" width="11.28515625" bestFit="1" customWidth="1"/>
    <col min="22" max="22" width="9.7109375" bestFit="1" customWidth="1"/>
    <col min="23" max="23" width="10.140625" style="46" bestFit="1" customWidth="1"/>
    <col min="24" max="24" width="11.28515625" bestFit="1" customWidth="1"/>
    <col min="25" max="26" width="12" bestFit="1" customWidth="1"/>
  </cols>
  <sheetData>
    <row r="1" spans="1:26" ht="15.75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55"/>
      <c r="M1" s="55"/>
      <c r="N1" s="3"/>
      <c r="O1" s="3"/>
      <c r="P1" s="3"/>
      <c r="Q1" s="3"/>
      <c r="R1" s="3"/>
      <c r="S1" s="3"/>
      <c r="T1" s="3"/>
      <c r="U1" s="3"/>
      <c r="V1" s="3"/>
      <c r="W1" s="50"/>
      <c r="X1" s="50"/>
      <c r="Y1" s="50"/>
      <c r="Z1" s="4"/>
    </row>
    <row r="2" spans="1:26" ht="15.75">
      <c r="A2" s="5"/>
      <c r="B2" s="6" t="str">
        <f ca="1">CONCATENATE("As per ",TEXT(TODAY(), "dd/mm/yyyy"))</f>
        <v>As per 28/05/2026</v>
      </c>
      <c r="C2" s="6"/>
      <c r="D2" s="6"/>
      <c r="E2" s="6"/>
      <c r="F2" s="6"/>
      <c r="G2" s="7"/>
      <c r="H2" s="7"/>
      <c r="I2" s="7"/>
      <c r="J2" s="7"/>
      <c r="K2" s="7"/>
      <c r="L2" s="56"/>
      <c r="M2" s="5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8.75">
      <c r="A3" s="9" t="s">
        <v>1</v>
      </c>
      <c r="B3" s="10"/>
      <c r="C3" s="10"/>
      <c r="D3" s="10"/>
      <c r="E3" s="10"/>
      <c r="F3" s="10"/>
      <c r="G3" s="7"/>
      <c r="H3" s="7"/>
      <c r="I3" s="7"/>
      <c r="J3" s="7"/>
      <c r="K3" s="7"/>
      <c r="L3" s="56"/>
      <c r="M3" s="56"/>
      <c r="N3" s="7"/>
      <c r="O3" s="7"/>
      <c r="P3" s="7"/>
      <c r="Q3" s="7"/>
      <c r="R3" s="7"/>
      <c r="S3" s="7"/>
      <c r="T3" s="54" t="s">
        <v>2</v>
      </c>
      <c r="U3" s="54" t="s">
        <v>2</v>
      </c>
      <c r="V3" s="54">
        <v>45200</v>
      </c>
      <c r="W3" s="7"/>
      <c r="X3" s="7"/>
      <c r="Y3" s="7"/>
      <c r="Z3" s="8"/>
    </row>
    <row r="4" spans="1:26">
      <c r="A4" s="11" t="s">
        <v>3</v>
      </c>
      <c r="B4" s="12" t="s">
        <v>4</v>
      </c>
      <c r="C4" s="12"/>
      <c r="D4" s="12"/>
      <c r="E4" s="12"/>
      <c r="F4" s="12"/>
      <c r="G4" s="7"/>
      <c r="H4" s="7"/>
      <c r="I4" s="7"/>
      <c r="J4" s="7"/>
      <c r="K4" s="7"/>
      <c r="L4" s="56"/>
      <c r="M4" s="5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>
      <c r="A5" s="13"/>
      <c r="B5" s="14"/>
      <c r="C5" s="63"/>
      <c r="D5" s="63"/>
      <c r="E5" s="63"/>
      <c r="F5" s="63"/>
      <c r="G5" s="15"/>
      <c r="H5" s="15"/>
      <c r="I5" s="15"/>
      <c r="J5" s="15"/>
      <c r="K5" s="15"/>
      <c r="L5" s="57"/>
      <c r="M5" s="57"/>
      <c r="N5" s="15"/>
      <c r="O5" s="15"/>
      <c r="P5" s="15"/>
      <c r="Q5" s="15"/>
      <c r="R5" s="15"/>
      <c r="S5" s="15"/>
      <c r="T5" s="15"/>
      <c r="U5" s="15"/>
      <c r="V5" s="15"/>
      <c r="W5" s="51"/>
      <c r="X5" s="51"/>
      <c r="Y5" s="51"/>
      <c r="Z5" s="53"/>
    </row>
    <row r="6" spans="1:26">
      <c r="A6" s="16" t="s">
        <v>5</v>
      </c>
      <c r="B6" s="17" t="s">
        <v>6</v>
      </c>
      <c r="C6" s="90" t="s">
        <v>7</v>
      </c>
      <c r="D6" s="90" t="s">
        <v>8</v>
      </c>
      <c r="E6" s="17" t="s">
        <v>9</v>
      </c>
      <c r="F6" s="17" t="s">
        <v>10</v>
      </c>
      <c r="G6" s="18" t="s">
        <v>11</v>
      </c>
      <c r="H6" s="18" t="s">
        <v>12</v>
      </c>
      <c r="I6" s="18" t="s">
        <v>13</v>
      </c>
      <c r="J6" s="18" t="s">
        <v>14</v>
      </c>
      <c r="K6" s="18" t="s">
        <v>15</v>
      </c>
      <c r="L6" s="58" t="s">
        <v>16</v>
      </c>
      <c r="M6" s="58" t="s">
        <v>17</v>
      </c>
      <c r="N6" s="18" t="s">
        <v>18</v>
      </c>
      <c r="O6" s="18" t="s">
        <v>19</v>
      </c>
      <c r="P6" s="36" t="s">
        <v>20</v>
      </c>
      <c r="Q6" s="65"/>
      <c r="R6" s="36" t="s">
        <v>21</v>
      </c>
      <c r="S6" s="18" t="str">
        <f ca="1">TEXT(TODAY(),"MMM YYYY")</f>
        <v>May 2026</v>
      </c>
      <c r="T6" s="18" t="str">
        <f ca="1">TEXT(EDATE(TODAY(),1),"MMM YYYY")</f>
        <v>Jun 2026</v>
      </c>
      <c r="U6" s="18" t="str">
        <f ca="1">TEXT(EDATE(TODAY(),2),"MMM YYYY")</f>
        <v>Jul 2026</v>
      </c>
      <c r="V6" s="18" t="str">
        <f ca="1">TEXT(EDATE(TODAY(),3),"MMM YYYY")</f>
        <v>Aug 2026</v>
      </c>
      <c r="W6" s="49" t="s">
        <v>22</v>
      </c>
      <c r="X6" s="48" t="s">
        <v>23</v>
      </c>
      <c r="Y6" s="52" t="s">
        <v>24</v>
      </c>
      <c r="Z6" s="19" t="s">
        <v>25</v>
      </c>
    </row>
    <row r="7" spans="1:26">
      <c r="A7" s="20"/>
      <c r="B7" s="21"/>
      <c r="C7" s="21"/>
      <c r="D7" s="21"/>
      <c r="E7" s="21"/>
      <c r="F7" s="21"/>
      <c r="G7" s="22"/>
      <c r="H7" s="22"/>
      <c r="I7" s="22"/>
      <c r="J7" s="22"/>
      <c r="K7" s="22"/>
      <c r="L7" s="59"/>
      <c r="M7" s="59"/>
      <c r="N7" s="22"/>
      <c r="O7" s="22"/>
      <c r="P7" s="34"/>
      <c r="Q7" s="66"/>
      <c r="R7" s="34"/>
      <c r="S7" s="22"/>
      <c r="T7" s="22"/>
      <c r="U7" s="22"/>
      <c r="V7" s="22"/>
      <c r="W7" s="44"/>
      <c r="X7" s="35"/>
      <c r="Y7" s="22"/>
      <c r="Z7" s="23"/>
    </row>
    <row r="8" spans="1:26" ht="16.5" thickBot="1">
      <c r="A8" s="24"/>
      <c r="B8" s="25"/>
      <c r="C8" s="64"/>
      <c r="D8" s="64"/>
      <c r="E8" s="64"/>
      <c r="F8" s="64"/>
      <c r="G8" s="26"/>
      <c r="H8" s="26"/>
      <c r="I8" s="26"/>
      <c r="J8" s="26"/>
      <c r="K8" s="27"/>
      <c r="L8" s="27"/>
      <c r="M8" s="77">
        <f t="shared" ref="M8:Z8" si="0">SUMPRODUCT(M10:M998,$L$10:$L$998)</f>
        <v>2629596.52</v>
      </c>
      <c r="N8" s="77">
        <f t="shared" si="0"/>
        <v>21015.280000000002</v>
      </c>
      <c r="O8" s="77">
        <f t="shared" si="0"/>
        <v>114373.20999999999</v>
      </c>
      <c r="P8" s="77">
        <f t="shared" si="0"/>
        <v>2608581.2399999998</v>
      </c>
      <c r="Q8" s="77">
        <f t="shared" si="0"/>
        <v>0</v>
      </c>
      <c r="R8" s="77">
        <f t="shared" si="0"/>
        <v>3211070.3700000006</v>
      </c>
      <c r="S8" s="77">
        <f t="shared" si="0"/>
        <v>946197.99999999988</v>
      </c>
      <c r="T8" s="77">
        <f t="shared" si="0"/>
        <v>1033862.34</v>
      </c>
      <c r="U8" s="77">
        <f t="shared" si="0"/>
        <v>517175.75999999995</v>
      </c>
      <c r="V8" s="77">
        <f t="shared" si="0"/>
        <v>713834.27</v>
      </c>
      <c r="W8" s="77">
        <f t="shared" si="0"/>
        <v>118153.72</v>
      </c>
      <c r="X8" s="77">
        <f t="shared" si="0"/>
        <v>2010059.9999999993</v>
      </c>
      <c r="Y8" s="77">
        <f t="shared" si="0"/>
        <v>4084419.0700000017</v>
      </c>
      <c r="Z8" s="77">
        <f t="shared" si="0"/>
        <v>6321880.1400000006</v>
      </c>
    </row>
    <row r="9" spans="1:26" ht="15.75">
      <c r="A9" s="28"/>
      <c r="B9" s="29"/>
      <c r="C9" s="90" t="s">
        <v>7</v>
      </c>
      <c r="D9" s="90" t="s">
        <v>8</v>
      </c>
      <c r="E9" s="90" t="s">
        <v>26</v>
      </c>
      <c r="F9" s="28"/>
      <c r="G9" s="30"/>
      <c r="H9" s="30"/>
      <c r="I9" s="30"/>
      <c r="J9" s="30"/>
      <c r="K9" s="31"/>
      <c r="L9" s="31"/>
      <c r="M9" s="76">
        <f t="shared" ref="M9:Z9" si="1">SUM(M10:M998)</f>
        <v>654974</v>
      </c>
      <c r="N9" s="76">
        <f t="shared" si="1"/>
        <v>18612</v>
      </c>
      <c r="O9" s="76">
        <f t="shared" si="1"/>
        <v>39814</v>
      </c>
      <c r="P9" s="76">
        <f t="shared" si="1"/>
        <v>636362</v>
      </c>
      <c r="Q9" s="76">
        <f t="shared" si="1"/>
        <v>0</v>
      </c>
      <c r="R9" s="76">
        <f t="shared" si="1"/>
        <v>1174787</v>
      </c>
      <c r="S9" s="76">
        <f t="shared" si="1"/>
        <v>435614</v>
      </c>
      <c r="T9" s="76">
        <f t="shared" si="1"/>
        <v>388132</v>
      </c>
      <c r="U9" s="76">
        <f t="shared" si="1"/>
        <v>131232</v>
      </c>
      <c r="V9" s="76">
        <f t="shared" si="1"/>
        <v>219809</v>
      </c>
      <c r="W9" s="76">
        <f t="shared" si="1"/>
        <v>64049</v>
      </c>
      <c r="X9" s="76">
        <f t="shared" si="1"/>
        <v>651705</v>
      </c>
      <c r="Y9" s="76">
        <f t="shared" si="1"/>
        <v>1492372</v>
      </c>
      <c r="Z9" s="76">
        <f t="shared" si="1"/>
        <v>2177380</v>
      </c>
    </row>
    <row r="10" spans="1:26">
      <c r="A10" s="32" t="s">
        <v>27</v>
      </c>
      <c r="B10" s="93" t="s">
        <v>28</v>
      </c>
      <c r="C10" s="97" t="s">
        <v>29</v>
      </c>
      <c r="D10" t="s">
        <v>30</v>
      </c>
      <c r="E10" t="s">
        <v>31</v>
      </c>
      <c r="F10" s="32" t="s">
        <v>32</v>
      </c>
      <c r="G10" s="32" t="s">
        <v>33</v>
      </c>
      <c r="H10" s="32" t="s">
        <v>34</v>
      </c>
      <c r="I10" s="32" t="s">
        <v>35</v>
      </c>
      <c r="J10" s="32">
        <v>200</v>
      </c>
      <c r="K10" s="71">
        <v>0</v>
      </c>
      <c r="L10" s="61">
        <v>1.27</v>
      </c>
      <c r="M10" s="39">
        <v>0</v>
      </c>
      <c r="N10" s="39">
        <v>0</v>
      </c>
      <c r="O10" s="39">
        <v>0</v>
      </c>
      <c r="P10" s="40">
        <v>0</v>
      </c>
      <c r="Q10" s="67"/>
      <c r="R10" s="43">
        <v>600</v>
      </c>
      <c r="S10" s="39">
        <v>400</v>
      </c>
      <c r="T10" s="39"/>
      <c r="U10" s="39"/>
      <c r="V10" s="39">
        <v>200</v>
      </c>
      <c r="W10" s="45"/>
      <c r="X10" s="47"/>
      <c r="Y10" s="39">
        <v>2362</v>
      </c>
      <c r="Z10" s="39">
        <v>3579</v>
      </c>
    </row>
    <row r="11" spans="1:26">
      <c r="A11" s="32" t="s">
        <v>36</v>
      </c>
      <c r="B11" s="93" t="s">
        <v>37</v>
      </c>
      <c r="C11" s="97" t="s">
        <v>29</v>
      </c>
      <c r="D11" t="s">
        <v>38</v>
      </c>
      <c r="E11" t="s">
        <v>39</v>
      </c>
      <c r="F11" s="32" t="s">
        <v>32</v>
      </c>
      <c r="G11" s="32" t="s">
        <v>33</v>
      </c>
      <c r="H11" s="32" t="s">
        <v>34</v>
      </c>
      <c r="I11" s="32" t="s">
        <v>35</v>
      </c>
      <c r="J11" s="32">
        <v>200</v>
      </c>
      <c r="K11" s="71">
        <v>0</v>
      </c>
      <c r="L11" s="61">
        <v>1.27</v>
      </c>
      <c r="M11" s="39">
        <v>0</v>
      </c>
      <c r="N11" s="39">
        <v>0</v>
      </c>
      <c r="O11" s="39">
        <v>800</v>
      </c>
      <c r="P11" s="40">
        <v>0</v>
      </c>
      <c r="Q11" s="67"/>
      <c r="R11" s="43">
        <v>200</v>
      </c>
      <c r="S11" s="39">
        <v>200</v>
      </c>
      <c r="T11" s="39"/>
      <c r="U11" s="39"/>
      <c r="V11" s="39"/>
      <c r="W11" s="45"/>
      <c r="X11" s="47">
        <v>0</v>
      </c>
      <c r="Y11" s="39">
        <v>7781</v>
      </c>
      <c r="Z11" s="39">
        <v>8398</v>
      </c>
    </row>
    <row r="12" spans="1:26">
      <c r="A12" s="32" t="s">
        <v>40</v>
      </c>
      <c r="B12" s="93" t="s">
        <v>41</v>
      </c>
      <c r="C12" s="97" t="s">
        <v>29</v>
      </c>
      <c r="D12" t="s">
        <v>42</v>
      </c>
      <c r="E12" t="s">
        <v>43</v>
      </c>
      <c r="F12" s="32" t="s">
        <v>32</v>
      </c>
      <c r="G12" s="32" t="s">
        <v>33</v>
      </c>
      <c r="H12" s="32" t="s">
        <v>34</v>
      </c>
      <c r="I12" s="32" t="s">
        <v>35</v>
      </c>
      <c r="J12" s="32">
        <v>200</v>
      </c>
      <c r="K12" s="71">
        <v>5685.79</v>
      </c>
      <c r="L12" s="61">
        <v>1.27</v>
      </c>
      <c r="M12" s="39">
        <v>4477</v>
      </c>
      <c r="N12" s="39">
        <v>0</v>
      </c>
      <c r="O12" s="39">
        <v>0</v>
      </c>
      <c r="P12" s="40">
        <v>4477</v>
      </c>
      <c r="Q12" s="67"/>
      <c r="R12" s="43">
        <v>2000</v>
      </c>
      <c r="S12" s="39">
        <v>2000</v>
      </c>
      <c r="T12" s="39"/>
      <c r="U12" s="39"/>
      <c r="V12" s="39"/>
      <c r="W12" s="45"/>
      <c r="X12" s="47">
        <v>6402</v>
      </c>
      <c r="Y12" s="39">
        <v>9203</v>
      </c>
      <c r="Z12" s="39">
        <v>9820</v>
      </c>
    </row>
    <row r="13" spans="1:26">
      <c r="A13" s="32" t="s">
        <v>44</v>
      </c>
      <c r="B13" s="93" t="s">
        <v>45</v>
      </c>
      <c r="C13" s="97" t="s">
        <v>46</v>
      </c>
      <c r="D13" t="s">
        <v>47</v>
      </c>
      <c r="E13" t="s">
        <v>48</v>
      </c>
      <c r="F13" s="32" t="s">
        <v>32</v>
      </c>
      <c r="G13" s="32" t="s">
        <v>49</v>
      </c>
      <c r="H13" s="32" t="s">
        <v>50</v>
      </c>
      <c r="I13" s="32" t="s">
        <v>35</v>
      </c>
      <c r="J13" s="32">
        <v>30</v>
      </c>
      <c r="K13" s="71">
        <v>0</v>
      </c>
      <c r="L13" s="61">
        <v>5.23</v>
      </c>
      <c r="M13" s="39">
        <v>0</v>
      </c>
      <c r="N13" s="39">
        <v>0</v>
      </c>
      <c r="O13" s="39">
        <v>0</v>
      </c>
      <c r="P13" s="40">
        <v>0</v>
      </c>
      <c r="Q13" s="67"/>
      <c r="R13" s="43">
        <v>240</v>
      </c>
      <c r="S13" s="39">
        <v>240</v>
      </c>
      <c r="T13" s="39"/>
      <c r="U13" s="39"/>
      <c r="V13" s="39"/>
      <c r="W13" s="45"/>
      <c r="X13" s="47">
        <v>360</v>
      </c>
      <c r="Y13" s="39">
        <v>600</v>
      </c>
      <c r="Z13" s="39">
        <v>600</v>
      </c>
    </row>
    <row r="14" spans="1:26">
      <c r="A14" s="32" t="s">
        <v>51</v>
      </c>
      <c r="B14" s="93" t="s">
        <v>52</v>
      </c>
      <c r="C14" s="97" t="s">
        <v>46</v>
      </c>
      <c r="D14" t="s">
        <v>47</v>
      </c>
      <c r="E14" t="s">
        <v>48</v>
      </c>
      <c r="F14" s="32" t="s">
        <v>32</v>
      </c>
      <c r="G14" s="32" t="s">
        <v>49</v>
      </c>
      <c r="H14" s="32" t="s">
        <v>50</v>
      </c>
      <c r="I14" s="32" t="s">
        <v>35</v>
      </c>
      <c r="J14" s="32">
        <v>30</v>
      </c>
      <c r="K14" s="71">
        <v>0</v>
      </c>
      <c r="L14" s="61">
        <v>5.32</v>
      </c>
      <c r="M14" s="39">
        <v>0</v>
      </c>
      <c r="N14" s="39">
        <v>0</v>
      </c>
      <c r="O14" s="39">
        <v>0</v>
      </c>
      <c r="P14" s="40">
        <v>0</v>
      </c>
      <c r="Q14" s="67"/>
      <c r="R14" s="43">
        <v>330</v>
      </c>
      <c r="S14" s="39">
        <v>330</v>
      </c>
      <c r="T14" s="39"/>
      <c r="U14" s="39"/>
      <c r="V14" s="39"/>
      <c r="W14" s="45"/>
      <c r="X14" s="47">
        <v>420</v>
      </c>
      <c r="Y14" s="39">
        <v>420</v>
      </c>
      <c r="Z14" s="39">
        <v>930</v>
      </c>
    </row>
    <row r="15" spans="1:26">
      <c r="A15" s="32" t="s">
        <v>53</v>
      </c>
      <c r="B15" s="93" t="s">
        <v>54</v>
      </c>
      <c r="C15" s="97" t="s">
        <v>46</v>
      </c>
      <c r="D15" t="s">
        <v>47</v>
      </c>
      <c r="E15" t="s">
        <v>48</v>
      </c>
      <c r="F15" s="32" t="s">
        <v>32</v>
      </c>
      <c r="G15" s="32" t="s">
        <v>49</v>
      </c>
      <c r="H15" s="32" t="s">
        <v>50</v>
      </c>
      <c r="I15" s="32" t="s">
        <v>35</v>
      </c>
      <c r="J15" s="32">
        <v>30</v>
      </c>
      <c r="K15" s="71">
        <v>2196.6000000000004</v>
      </c>
      <c r="L15" s="61">
        <v>5.23</v>
      </c>
      <c r="M15" s="39">
        <v>420</v>
      </c>
      <c r="N15" s="39">
        <v>0</v>
      </c>
      <c r="O15" s="39">
        <v>0</v>
      </c>
      <c r="P15" s="40">
        <v>420</v>
      </c>
      <c r="Q15" s="67"/>
      <c r="R15" s="43">
        <v>120</v>
      </c>
      <c r="S15" s="39">
        <v>120</v>
      </c>
      <c r="T15" s="39"/>
      <c r="U15" s="39"/>
      <c r="V15" s="39"/>
      <c r="W15" s="45"/>
      <c r="X15" s="47"/>
      <c r="Y15" s="39"/>
      <c r="Z15" s="39">
        <v>480</v>
      </c>
    </row>
    <row r="16" spans="1:26">
      <c r="A16" s="32" t="s">
        <v>55</v>
      </c>
      <c r="B16" s="93" t="s">
        <v>56</v>
      </c>
      <c r="C16" s="97" t="s">
        <v>46</v>
      </c>
      <c r="D16" t="s">
        <v>47</v>
      </c>
      <c r="E16" t="s">
        <v>48</v>
      </c>
      <c r="F16" s="32" t="s">
        <v>32</v>
      </c>
      <c r="G16" s="32" t="s">
        <v>49</v>
      </c>
      <c r="H16" s="32" t="s">
        <v>50</v>
      </c>
      <c r="I16" s="32" t="s">
        <v>35</v>
      </c>
      <c r="J16" s="32">
        <v>30</v>
      </c>
      <c r="K16" s="71">
        <v>1258.79</v>
      </c>
      <c r="L16" s="61">
        <v>4.21</v>
      </c>
      <c r="M16" s="39">
        <v>299</v>
      </c>
      <c r="N16" s="39">
        <v>0</v>
      </c>
      <c r="O16" s="39">
        <v>0</v>
      </c>
      <c r="P16" s="40">
        <v>299</v>
      </c>
      <c r="Q16" s="67"/>
      <c r="R16" s="43"/>
      <c r="S16" s="39"/>
      <c r="T16" s="39"/>
      <c r="U16" s="39"/>
      <c r="V16" s="39"/>
      <c r="W16" s="45"/>
      <c r="X16" s="47"/>
      <c r="Y16" s="39"/>
      <c r="Z16" s="39"/>
    </row>
    <row r="17" spans="1:26">
      <c r="A17" s="32" t="s">
        <v>57</v>
      </c>
      <c r="B17" s="93" t="s">
        <v>58</v>
      </c>
      <c r="C17" s="97" t="s">
        <v>46</v>
      </c>
      <c r="D17" s="111" t="s">
        <v>47</v>
      </c>
      <c r="E17" s="113" t="s">
        <v>48</v>
      </c>
      <c r="F17" s="32" t="s">
        <v>32</v>
      </c>
      <c r="G17" s="32" t="s">
        <v>49</v>
      </c>
      <c r="H17" s="32" t="s">
        <v>50</v>
      </c>
      <c r="I17" s="32" t="s">
        <v>35</v>
      </c>
      <c r="J17" s="32">
        <v>30</v>
      </c>
      <c r="K17" s="71">
        <v>1597.2</v>
      </c>
      <c r="L17" s="61">
        <v>4.84</v>
      </c>
      <c r="M17" s="39">
        <v>330</v>
      </c>
      <c r="N17" s="39">
        <v>0</v>
      </c>
      <c r="O17" s="39">
        <v>0</v>
      </c>
      <c r="P17" s="40">
        <v>330</v>
      </c>
      <c r="Q17" s="67"/>
      <c r="R17" s="43"/>
      <c r="S17" s="39"/>
      <c r="T17" s="39"/>
      <c r="U17" s="39"/>
      <c r="V17" s="39"/>
      <c r="W17" s="45"/>
      <c r="X17" s="47"/>
      <c r="Y17" s="39"/>
      <c r="Z17" s="39"/>
    </row>
    <row r="18" spans="1:26">
      <c r="A18" s="32" t="s">
        <v>59</v>
      </c>
      <c r="B18" s="93" t="s">
        <v>60</v>
      </c>
      <c r="C18" s="97" t="s">
        <v>46</v>
      </c>
      <c r="D18" t="s">
        <v>47</v>
      </c>
      <c r="E18" t="s">
        <v>48</v>
      </c>
      <c r="F18" s="32" t="s">
        <v>32</v>
      </c>
      <c r="G18" s="32" t="s">
        <v>49</v>
      </c>
      <c r="H18" s="32" t="s">
        <v>50</v>
      </c>
      <c r="I18" s="32" t="s">
        <v>35</v>
      </c>
      <c r="J18" s="32">
        <v>30</v>
      </c>
      <c r="K18" s="71">
        <v>2468.4</v>
      </c>
      <c r="L18" s="61">
        <v>4.84</v>
      </c>
      <c r="M18" s="39">
        <v>510</v>
      </c>
      <c r="N18" s="39">
        <v>0</v>
      </c>
      <c r="O18" s="39">
        <v>0</v>
      </c>
      <c r="P18" s="40">
        <v>510</v>
      </c>
      <c r="Q18" s="67"/>
      <c r="R18" s="43"/>
      <c r="S18" s="39"/>
      <c r="T18" s="39"/>
      <c r="U18" s="39"/>
      <c r="V18" s="39"/>
      <c r="W18" s="45"/>
      <c r="X18" s="47"/>
      <c r="Y18" s="39"/>
      <c r="Z18" s="39"/>
    </row>
    <row r="19" spans="1:26">
      <c r="A19" s="32" t="s">
        <v>61</v>
      </c>
      <c r="B19" s="93" t="s">
        <v>62</v>
      </c>
      <c r="C19" s="97" t="s">
        <v>46</v>
      </c>
      <c r="D19" t="s">
        <v>47</v>
      </c>
      <c r="E19" t="s">
        <v>48</v>
      </c>
      <c r="F19" s="32" t="s">
        <v>32</v>
      </c>
      <c r="G19" s="32" t="s">
        <v>49</v>
      </c>
      <c r="H19" s="32" t="s">
        <v>50</v>
      </c>
      <c r="I19" s="32" t="s">
        <v>35</v>
      </c>
      <c r="J19" s="32">
        <v>30</v>
      </c>
      <c r="K19" s="71">
        <v>3974.8</v>
      </c>
      <c r="L19" s="61">
        <v>5.23</v>
      </c>
      <c r="M19" s="39">
        <v>760</v>
      </c>
      <c r="N19" s="39">
        <v>0</v>
      </c>
      <c r="O19" s="39">
        <v>0</v>
      </c>
      <c r="P19" s="40">
        <v>760</v>
      </c>
      <c r="Q19" s="67"/>
      <c r="R19" s="43">
        <v>120</v>
      </c>
      <c r="S19" s="39">
        <v>120</v>
      </c>
      <c r="T19" s="39"/>
      <c r="U19" s="39"/>
      <c r="V19" s="39"/>
      <c r="W19" s="45"/>
      <c r="X19" s="47"/>
      <c r="Y19" s="39"/>
      <c r="Z19" s="39">
        <v>1010</v>
      </c>
    </row>
    <row r="20" spans="1:26">
      <c r="A20" s="32" t="s">
        <v>63</v>
      </c>
      <c r="B20" s="93" t="s">
        <v>64</v>
      </c>
      <c r="C20" s="97" t="s">
        <v>46</v>
      </c>
      <c r="D20" t="s">
        <v>47</v>
      </c>
      <c r="E20" t="s">
        <v>48</v>
      </c>
      <c r="F20" s="32" t="s">
        <v>32</v>
      </c>
      <c r="G20" s="32" t="s">
        <v>49</v>
      </c>
      <c r="H20" s="32" t="s">
        <v>50</v>
      </c>
      <c r="I20" s="32" t="s">
        <v>35</v>
      </c>
      <c r="J20" s="32">
        <v>30</v>
      </c>
      <c r="K20" s="71">
        <v>0</v>
      </c>
      <c r="L20" s="61">
        <v>5.23</v>
      </c>
      <c r="M20" s="39">
        <v>0</v>
      </c>
      <c r="N20" s="39">
        <v>0</v>
      </c>
      <c r="O20" s="39">
        <v>380</v>
      </c>
      <c r="P20" s="40">
        <v>0</v>
      </c>
      <c r="Q20" s="67"/>
      <c r="R20" s="43">
        <v>720</v>
      </c>
      <c r="S20" s="39">
        <v>120</v>
      </c>
      <c r="T20" s="39"/>
      <c r="U20" s="39"/>
      <c r="V20" s="39">
        <v>600</v>
      </c>
      <c r="W20" s="45"/>
      <c r="X20" s="47">
        <v>420</v>
      </c>
      <c r="Y20" s="39">
        <v>420</v>
      </c>
      <c r="Z20" s="39">
        <v>840</v>
      </c>
    </row>
    <row r="21" spans="1:26">
      <c r="A21" s="32" t="s">
        <v>65</v>
      </c>
      <c r="B21" s="93" t="s">
        <v>66</v>
      </c>
      <c r="C21" s="97" t="s">
        <v>29</v>
      </c>
      <c r="D21" s="70"/>
      <c r="E21" s="70" t="s">
        <v>1</v>
      </c>
      <c r="F21" s="32" t="s">
        <v>32</v>
      </c>
      <c r="G21" s="32" t="s">
        <v>33</v>
      </c>
      <c r="H21" s="32" t="s">
        <v>34</v>
      </c>
      <c r="I21" s="32" t="s">
        <v>35</v>
      </c>
      <c r="J21" s="32">
        <v>250</v>
      </c>
      <c r="K21" s="71">
        <v>13640</v>
      </c>
      <c r="L21" s="61">
        <v>3.41</v>
      </c>
      <c r="M21" s="39">
        <v>4000</v>
      </c>
      <c r="N21" s="39">
        <v>0</v>
      </c>
      <c r="O21" s="39">
        <v>0</v>
      </c>
      <c r="P21" s="40">
        <v>4000</v>
      </c>
      <c r="Q21" s="67"/>
      <c r="R21" s="43">
        <v>3000</v>
      </c>
      <c r="S21" s="39">
        <v>1000</v>
      </c>
      <c r="T21" s="39"/>
      <c r="U21" s="39"/>
      <c r="V21" s="39">
        <v>2000</v>
      </c>
      <c r="W21" s="45"/>
      <c r="X21" s="47"/>
      <c r="Y21" s="39">
        <v>2000</v>
      </c>
      <c r="Z21" s="39">
        <v>2000</v>
      </c>
    </row>
    <row r="22" spans="1:26">
      <c r="A22" s="32" t="s">
        <v>67</v>
      </c>
      <c r="B22" s="93" t="s">
        <v>68</v>
      </c>
      <c r="C22" s="97" t="s">
        <v>29</v>
      </c>
      <c r="D22" s="70"/>
      <c r="E22" s="70" t="s">
        <v>1</v>
      </c>
      <c r="F22" s="32" t="s">
        <v>32</v>
      </c>
      <c r="G22" s="32" t="s">
        <v>33</v>
      </c>
      <c r="H22" s="32" t="s">
        <v>34</v>
      </c>
      <c r="I22" s="32" t="s">
        <v>35</v>
      </c>
      <c r="J22" s="32"/>
      <c r="K22" s="71">
        <v>0</v>
      </c>
      <c r="L22" s="61">
        <v>1.27</v>
      </c>
      <c r="M22" s="39">
        <v>0</v>
      </c>
      <c r="N22" s="39">
        <v>0</v>
      </c>
      <c r="O22" s="39">
        <v>0</v>
      </c>
      <c r="P22" s="40">
        <v>0</v>
      </c>
      <c r="Q22" s="67"/>
      <c r="R22" s="43">
        <v>530</v>
      </c>
      <c r="S22" s="39">
        <v>130</v>
      </c>
      <c r="T22" s="39">
        <v>200</v>
      </c>
      <c r="U22" s="39"/>
      <c r="V22" s="39">
        <v>200</v>
      </c>
      <c r="W22" s="45"/>
      <c r="X22" s="47"/>
      <c r="Y22" s="39">
        <v>995</v>
      </c>
      <c r="Z22" s="39">
        <v>997</v>
      </c>
    </row>
    <row r="23" spans="1:26">
      <c r="A23" s="32" t="s">
        <v>69</v>
      </c>
      <c r="B23" s="93" t="s">
        <v>70</v>
      </c>
      <c r="C23" s="97" t="s">
        <v>29</v>
      </c>
      <c r="D23" s="70"/>
      <c r="E23" s="70" t="s">
        <v>1</v>
      </c>
      <c r="F23" s="32" t="s">
        <v>32</v>
      </c>
      <c r="G23" s="32" t="s">
        <v>33</v>
      </c>
      <c r="H23" s="32" t="s">
        <v>34</v>
      </c>
      <c r="I23" s="32" t="s">
        <v>35</v>
      </c>
      <c r="J23" s="32"/>
      <c r="K23" s="71">
        <v>0</v>
      </c>
      <c r="L23" s="61">
        <v>1.27</v>
      </c>
      <c r="M23" s="39">
        <v>0</v>
      </c>
      <c r="N23" s="39">
        <v>0</v>
      </c>
      <c r="O23" s="39">
        <v>0</v>
      </c>
      <c r="P23" s="40">
        <v>0</v>
      </c>
      <c r="Q23" s="67"/>
      <c r="R23" s="43">
        <v>675</v>
      </c>
      <c r="S23" s="39">
        <v>75</v>
      </c>
      <c r="T23" s="39">
        <v>200</v>
      </c>
      <c r="U23" s="39"/>
      <c r="V23" s="39">
        <v>400</v>
      </c>
      <c r="W23" s="45"/>
      <c r="X23" s="47"/>
      <c r="Y23" s="39">
        <v>1598</v>
      </c>
      <c r="Z23" s="39">
        <v>1600</v>
      </c>
    </row>
    <row r="24" spans="1:26">
      <c r="A24" s="32" t="s">
        <v>71</v>
      </c>
      <c r="B24" s="93" t="s">
        <v>72</v>
      </c>
      <c r="C24" s="97" t="s">
        <v>29</v>
      </c>
      <c r="D24" s="70"/>
      <c r="E24" s="70" t="s">
        <v>1</v>
      </c>
      <c r="F24" s="32" t="s">
        <v>32</v>
      </c>
      <c r="G24" s="32" t="s">
        <v>33</v>
      </c>
      <c r="H24" s="32" t="s">
        <v>34</v>
      </c>
      <c r="I24" s="32" t="s">
        <v>35</v>
      </c>
      <c r="J24" s="32">
        <v>150</v>
      </c>
      <c r="K24" s="71">
        <v>9184.5</v>
      </c>
      <c r="L24" s="61">
        <v>4.71</v>
      </c>
      <c r="M24" s="39">
        <v>1950</v>
      </c>
      <c r="N24" s="39">
        <v>0</v>
      </c>
      <c r="O24" s="39">
        <v>0</v>
      </c>
      <c r="P24" s="40">
        <v>1950</v>
      </c>
      <c r="Q24" s="67"/>
      <c r="R24" s="43">
        <v>2100</v>
      </c>
      <c r="S24" s="39">
        <v>2100</v>
      </c>
      <c r="T24" s="39"/>
      <c r="U24" s="39"/>
      <c r="V24" s="39"/>
      <c r="W24" s="45"/>
      <c r="X24" s="47">
        <v>1650</v>
      </c>
      <c r="Y24" s="39">
        <v>2850</v>
      </c>
      <c r="Z24" s="39">
        <v>2850</v>
      </c>
    </row>
    <row r="25" spans="1:26">
      <c r="A25" s="32" t="s">
        <v>73</v>
      </c>
      <c r="B25" s="93" t="s">
        <v>74</v>
      </c>
      <c r="C25" s="97" t="s">
        <v>29</v>
      </c>
      <c r="D25" s="70"/>
      <c r="E25" s="70" t="s">
        <v>1</v>
      </c>
      <c r="F25" s="32" t="s">
        <v>32</v>
      </c>
      <c r="G25" s="32" t="s">
        <v>33</v>
      </c>
      <c r="H25" s="32" t="s">
        <v>34</v>
      </c>
      <c r="I25" s="32" t="s">
        <v>35</v>
      </c>
      <c r="J25" s="32">
        <v>300</v>
      </c>
      <c r="K25" s="71">
        <v>1667.9999999999998</v>
      </c>
      <c r="L25" s="61">
        <v>2.78</v>
      </c>
      <c r="M25" s="39">
        <v>600</v>
      </c>
      <c r="N25" s="39">
        <v>0</v>
      </c>
      <c r="O25" s="39">
        <v>0</v>
      </c>
      <c r="P25" s="40">
        <v>600</v>
      </c>
      <c r="Q25" s="67"/>
      <c r="R25" s="43">
        <v>3300</v>
      </c>
      <c r="S25" s="39">
        <v>3300</v>
      </c>
      <c r="T25" s="39"/>
      <c r="U25" s="39"/>
      <c r="V25" s="39"/>
      <c r="W25" s="45"/>
      <c r="X25" s="47">
        <v>900</v>
      </c>
      <c r="Y25" s="39">
        <v>4500</v>
      </c>
      <c r="Z25" s="39">
        <v>6000</v>
      </c>
    </row>
    <row r="26" spans="1:26">
      <c r="A26" s="32" t="s">
        <v>75</v>
      </c>
      <c r="B26" s="93" t="s">
        <v>76</v>
      </c>
      <c r="C26" s="97" t="s">
        <v>46</v>
      </c>
      <c r="D26" t="s">
        <v>77</v>
      </c>
      <c r="E26" t="s">
        <v>78</v>
      </c>
      <c r="F26" s="32" t="s">
        <v>32</v>
      </c>
      <c r="G26" s="32" t="s">
        <v>49</v>
      </c>
      <c r="H26" s="32" t="s">
        <v>50</v>
      </c>
      <c r="I26" s="32" t="s">
        <v>35</v>
      </c>
      <c r="J26" s="32">
        <v>50</v>
      </c>
      <c r="K26" s="71"/>
      <c r="L26" s="61">
        <v>7.16</v>
      </c>
      <c r="M26" s="39"/>
      <c r="N26" s="39">
        <v>0</v>
      </c>
      <c r="O26" s="39">
        <v>5000</v>
      </c>
      <c r="P26" s="40">
        <v>0</v>
      </c>
      <c r="Q26" s="67"/>
      <c r="R26" s="43">
        <v>5000</v>
      </c>
      <c r="S26" s="39">
        <v>5000</v>
      </c>
      <c r="T26" s="39"/>
      <c r="U26" s="39"/>
      <c r="V26" s="39"/>
      <c r="W26" s="45"/>
      <c r="X26" s="47"/>
      <c r="Y26" s="39"/>
      <c r="Z26" s="39"/>
    </row>
    <row r="27" spans="1:26">
      <c r="A27" s="32" t="s">
        <v>79</v>
      </c>
      <c r="B27" s="93" t="s">
        <v>80</v>
      </c>
      <c r="C27" s="97" t="s">
        <v>81</v>
      </c>
      <c r="D27" t="s">
        <v>82</v>
      </c>
      <c r="E27" t="s">
        <v>83</v>
      </c>
      <c r="F27" s="32" t="s">
        <v>32</v>
      </c>
      <c r="G27" s="32" t="s">
        <v>84</v>
      </c>
      <c r="H27" s="32" t="s">
        <v>85</v>
      </c>
      <c r="I27" s="32" t="s">
        <v>35</v>
      </c>
      <c r="J27" s="32">
        <v>25</v>
      </c>
      <c r="K27" s="71">
        <v>0</v>
      </c>
      <c r="L27" s="61">
        <v>10.81</v>
      </c>
      <c r="M27" s="39">
        <v>0</v>
      </c>
      <c r="N27" s="39">
        <v>0</v>
      </c>
      <c r="O27" s="39">
        <v>0</v>
      </c>
      <c r="P27" s="40">
        <v>0</v>
      </c>
      <c r="Q27" s="67"/>
      <c r="R27" s="43">
        <v>3000</v>
      </c>
      <c r="S27" s="39"/>
      <c r="T27" s="39"/>
      <c r="U27" s="39">
        <v>3000</v>
      </c>
      <c r="V27" s="39"/>
      <c r="W27" s="45"/>
      <c r="X27" s="47"/>
      <c r="Y27" s="39">
        <v>10000</v>
      </c>
      <c r="Z27" s="39">
        <v>10000</v>
      </c>
    </row>
    <row r="28" spans="1:26">
      <c r="A28" s="32" t="s">
        <v>86</v>
      </c>
      <c r="B28" s="93" t="s">
        <v>87</v>
      </c>
      <c r="C28" s="97" t="s">
        <v>88</v>
      </c>
      <c r="D28" s="70" t="s">
        <v>89</v>
      </c>
      <c r="E28" s="70" t="s">
        <v>90</v>
      </c>
      <c r="F28" s="32" t="s">
        <v>32</v>
      </c>
      <c r="G28" s="32" t="s">
        <v>33</v>
      </c>
      <c r="H28" s="32" t="s">
        <v>91</v>
      </c>
      <c r="I28" s="32" t="s">
        <v>35</v>
      </c>
      <c r="J28" s="32">
        <v>100</v>
      </c>
      <c r="K28" s="71"/>
      <c r="L28" s="61">
        <v>1.55</v>
      </c>
      <c r="M28" s="39">
        <v>0</v>
      </c>
      <c r="N28" s="39">
        <v>0</v>
      </c>
      <c r="O28" s="39">
        <v>0</v>
      </c>
      <c r="P28" s="40">
        <v>0</v>
      </c>
      <c r="Q28" s="67"/>
      <c r="R28" s="43">
        <v>5000</v>
      </c>
      <c r="S28" s="39"/>
      <c r="T28" s="39"/>
      <c r="U28" s="39">
        <v>5000</v>
      </c>
      <c r="V28" s="39"/>
      <c r="W28" s="45"/>
      <c r="X28" s="47"/>
      <c r="Y28" s="39"/>
      <c r="Z28" s="39"/>
    </row>
    <row r="29" spans="1:26">
      <c r="A29" s="32" t="s">
        <v>92</v>
      </c>
      <c r="B29" s="93" t="s">
        <v>93</v>
      </c>
      <c r="C29" s="97" t="s">
        <v>94</v>
      </c>
      <c r="D29" s="96" t="s">
        <v>95</v>
      </c>
      <c r="E29" s="32" t="s">
        <v>96</v>
      </c>
      <c r="F29" s="32" t="s">
        <v>32</v>
      </c>
      <c r="G29" s="32" t="s">
        <v>97</v>
      </c>
      <c r="H29" s="32" t="s">
        <v>98</v>
      </c>
      <c r="I29" s="32" t="s">
        <v>35</v>
      </c>
      <c r="J29" s="32">
        <v>50</v>
      </c>
      <c r="K29" s="71">
        <v>0</v>
      </c>
      <c r="L29" s="61">
        <v>3</v>
      </c>
      <c r="M29" s="39">
        <v>0</v>
      </c>
      <c r="N29" s="39">
        <v>0</v>
      </c>
      <c r="O29" s="39">
        <v>3400</v>
      </c>
      <c r="P29" s="40">
        <v>0</v>
      </c>
      <c r="Q29" s="67"/>
      <c r="R29" s="43">
        <v>9500</v>
      </c>
      <c r="S29" s="39">
        <v>1500</v>
      </c>
      <c r="T29" s="39"/>
      <c r="U29" s="39">
        <v>4000</v>
      </c>
      <c r="V29" s="39">
        <v>4000</v>
      </c>
      <c r="W29" s="45"/>
      <c r="X29" s="47">
        <v>2574</v>
      </c>
      <c r="Y29" s="39">
        <v>5624</v>
      </c>
      <c r="Z29" s="39">
        <v>7624</v>
      </c>
    </row>
    <row r="30" spans="1:26">
      <c r="A30" s="32" t="s">
        <v>99</v>
      </c>
      <c r="B30" s="93" t="s">
        <v>100</v>
      </c>
      <c r="C30" s="97" t="s">
        <v>94</v>
      </c>
      <c r="D30" s="96" t="s">
        <v>101</v>
      </c>
      <c r="E30" s="32" t="s">
        <v>102</v>
      </c>
      <c r="F30" s="32" t="s">
        <v>32</v>
      </c>
      <c r="G30" s="32" t="s">
        <v>97</v>
      </c>
      <c r="H30" s="32" t="s">
        <v>98</v>
      </c>
      <c r="I30" s="32" t="s">
        <v>35</v>
      </c>
      <c r="J30" s="32">
        <v>50</v>
      </c>
      <c r="K30" s="71">
        <v>13204.07</v>
      </c>
      <c r="L30" s="61">
        <v>3.07</v>
      </c>
      <c r="M30" s="39">
        <v>4301</v>
      </c>
      <c r="N30" s="39">
        <v>0</v>
      </c>
      <c r="O30" s="39">
        <v>0</v>
      </c>
      <c r="P30" s="40">
        <v>4301</v>
      </c>
      <c r="Q30" s="67"/>
      <c r="R30" s="43"/>
      <c r="S30" s="39"/>
      <c r="T30" s="39"/>
      <c r="U30" s="39"/>
      <c r="V30" s="39"/>
      <c r="W30" s="45"/>
      <c r="X30" s="47">
        <v>500</v>
      </c>
      <c r="Y30" s="39">
        <v>2500</v>
      </c>
      <c r="Z30" s="39">
        <v>3000</v>
      </c>
    </row>
    <row r="31" spans="1:26">
      <c r="A31" s="32" t="s">
        <v>103</v>
      </c>
      <c r="B31" s="93" t="s">
        <v>104</v>
      </c>
      <c r="C31" s="97" t="s">
        <v>94</v>
      </c>
      <c r="D31" s="96" t="s">
        <v>105</v>
      </c>
      <c r="E31" s="32" t="s">
        <v>106</v>
      </c>
      <c r="F31" s="32" t="s">
        <v>32</v>
      </c>
      <c r="G31" s="32" t="s">
        <v>97</v>
      </c>
      <c r="H31" s="32" t="s">
        <v>98</v>
      </c>
      <c r="I31" s="32" t="s">
        <v>35</v>
      </c>
      <c r="J31" s="32">
        <v>50</v>
      </c>
      <c r="K31" s="71">
        <v>23718</v>
      </c>
      <c r="L31" s="61">
        <v>3</v>
      </c>
      <c r="M31" s="39">
        <v>7906</v>
      </c>
      <c r="N31" s="39">
        <v>0</v>
      </c>
      <c r="O31" s="39">
        <v>0</v>
      </c>
      <c r="P31" s="40">
        <v>7906</v>
      </c>
      <c r="Q31" s="67"/>
      <c r="R31" s="43"/>
      <c r="S31" s="39"/>
      <c r="T31" s="39"/>
      <c r="U31" s="39"/>
      <c r="V31" s="39"/>
      <c r="W31" s="45"/>
      <c r="X31" s="47">
        <v>1700</v>
      </c>
      <c r="Y31" s="39">
        <v>3350</v>
      </c>
      <c r="Z31" s="39">
        <v>5600</v>
      </c>
    </row>
    <row r="32" spans="1:26">
      <c r="A32" s="32" t="s">
        <v>107</v>
      </c>
      <c r="B32" s="93" t="s">
        <v>108</v>
      </c>
      <c r="C32" s="97" t="s">
        <v>94</v>
      </c>
      <c r="D32" s="96" t="s">
        <v>109</v>
      </c>
      <c r="E32" s="113" t="s">
        <v>110</v>
      </c>
      <c r="F32" s="32" t="s">
        <v>32</v>
      </c>
      <c r="G32" s="32" t="s">
        <v>97</v>
      </c>
      <c r="H32" s="32" t="s">
        <v>111</v>
      </c>
      <c r="I32" s="32" t="s">
        <v>35</v>
      </c>
      <c r="J32" s="32">
        <v>120</v>
      </c>
      <c r="K32" s="71">
        <v>16362.000000000002</v>
      </c>
      <c r="L32" s="61">
        <v>2.7</v>
      </c>
      <c r="M32" s="39">
        <v>6060</v>
      </c>
      <c r="N32" s="39">
        <v>0</v>
      </c>
      <c r="O32" s="39">
        <v>0</v>
      </c>
      <c r="P32" s="40">
        <v>6060</v>
      </c>
      <c r="Q32" s="67"/>
      <c r="R32" s="43"/>
      <c r="S32" s="39"/>
      <c r="T32" s="39"/>
      <c r="U32" s="39"/>
      <c r="V32" s="39"/>
      <c r="W32" s="45"/>
      <c r="X32" s="47">
        <v>1200</v>
      </c>
      <c r="Y32" s="39">
        <v>1200</v>
      </c>
      <c r="Z32" s="39">
        <v>5040</v>
      </c>
    </row>
    <row r="33" spans="1:31">
      <c r="A33" s="32" t="s">
        <v>112</v>
      </c>
      <c r="B33" s="93" t="s">
        <v>113</v>
      </c>
      <c r="C33" s="97" t="s">
        <v>94</v>
      </c>
      <c r="D33" s="96" t="s">
        <v>114</v>
      </c>
      <c r="E33" s="32" t="s">
        <v>115</v>
      </c>
      <c r="F33" s="32" t="s">
        <v>32</v>
      </c>
      <c r="G33" s="32" t="s">
        <v>97</v>
      </c>
      <c r="H33" s="32" t="s">
        <v>98</v>
      </c>
      <c r="I33" s="32" t="s">
        <v>35</v>
      </c>
      <c r="J33" s="32">
        <v>50</v>
      </c>
      <c r="K33" s="71">
        <v>12420</v>
      </c>
      <c r="L33" s="61">
        <v>3.45</v>
      </c>
      <c r="M33" s="39">
        <v>3600</v>
      </c>
      <c r="N33" s="39">
        <v>3600</v>
      </c>
      <c r="O33" s="39">
        <v>0</v>
      </c>
      <c r="P33" s="40">
        <v>0</v>
      </c>
      <c r="Q33" s="67"/>
      <c r="R33" s="43">
        <v>1000</v>
      </c>
      <c r="S33" s="39"/>
      <c r="T33" s="39">
        <v>1000</v>
      </c>
      <c r="U33" s="39"/>
      <c r="V33" s="39"/>
      <c r="W33" s="45"/>
      <c r="X33" s="47">
        <v>2200</v>
      </c>
      <c r="Y33" s="39">
        <v>5100</v>
      </c>
      <c r="Z33" s="39">
        <v>6600</v>
      </c>
    </row>
    <row r="34" spans="1:31">
      <c r="A34" s="32" t="s">
        <v>116</v>
      </c>
      <c r="B34" s="93" t="s">
        <v>117</v>
      </c>
      <c r="C34" s="97" t="s">
        <v>81</v>
      </c>
      <c r="D34" t="s">
        <v>118</v>
      </c>
      <c r="E34" t="s">
        <v>119</v>
      </c>
      <c r="F34" s="32" t="s">
        <v>32</v>
      </c>
      <c r="G34" s="32" t="s">
        <v>84</v>
      </c>
      <c r="H34" s="32" t="s">
        <v>120</v>
      </c>
      <c r="I34" s="32" t="s">
        <v>35</v>
      </c>
      <c r="J34" s="32">
        <v>25</v>
      </c>
      <c r="K34" s="71">
        <v>61125</v>
      </c>
      <c r="L34" s="61">
        <v>8.15</v>
      </c>
      <c r="M34" s="39">
        <v>7500</v>
      </c>
      <c r="N34" s="39">
        <v>0</v>
      </c>
      <c r="O34" s="39">
        <v>0</v>
      </c>
      <c r="P34" s="40">
        <v>7500</v>
      </c>
      <c r="Q34" s="67"/>
      <c r="R34" s="43">
        <v>9000</v>
      </c>
      <c r="S34" s="39">
        <v>4000</v>
      </c>
      <c r="T34" s="39">
        <v>2000</v>
      </c>
      <c r="U34" s="39">
        <v>2000</v>
      </c>
      <c r="V34" s="39">
        <v>1000</v>
      </c>
      <c r="W34" s="45"/>
      <c r="X34" s="47">
        <v>4600</v>
      </c>
      <c r="Y34" s="39">
        <v>7475</v>
      </c>
      <c r="Z34" s="39">
        <v>17900</v>
      </c>
    </row>
    <row r="35" spans="1:31">
      <c r="A35" s="32" t="s">
        <v>121</v>
      </c>
      <c r="B35" s="93" t="s">
        <v>122</v>
      </c>
      <c r="C35" s="97" t="s">
        <v>81</v>
      </c>
      <c r="D35" t="s">
        <v>123</v>
      </c>
      <c r="E35" t="s">
        <v>124</v>
      </c>
      <c r="F35" s="32" t="s">
        <v>32</v>
      </c>
      <c r="G35" s="32" t="s">
        <v>84</v>
      </c>
      <c r="H35" s="32" t="s">
        <v>120</v>
      </c>
      <c r="I35" s="32" t="s">
        <v>35</v>
      </c>
      <c r="J35" s="32">
        <v>25</v>
      </c>
      <c r="K35" s="71">
        <v>0</v>
      </c>
      <c r="L35" s="61">
        <v>8.15</v>
      </c>
      <c r="M35" s="39">
        <v>0</v>
      </c>
      <c r="N35" s="39">
        <v>0</v>
      </c>
      <c r="O35" s="39">
        <v>2300</v>
      </c>
      <c r="P35" s="40">
        <v>0</v>
      </c>
      <c r="Q35" s="67"/>
      <c r="R35" s="43">
        <v>9000</v>
      </c>
      <c r="S35" s="39">
        <v>3000</v>
      </c>
      <c r="T35" s="39">
        <v>4000</v>
      </c>
      <c r="U35" s="39">
        <v>2000</v>
      </c>
      <c r="V35" s="39"/>
      <c r="W35" s="45"/>
      <c r="X35" s="47">
        <v>0</v>
      </c>
      <c r="Y35" s="39">
        <v>4875</v>
      </c>
      <c r="Z35" s="39">
        <v>7375</v>
      </c>
    </row>
    <row r="36" spans="1:31">
      <c r="A36" s="32" t="s">
        <v>125</v>
      </c>
      <c r="B36" s="93" t="s">
        <v>126</v>
      </c>
      <c r="C36" s="97" t="s">
        <v>127</v>
      </c>
      <c r="D36" t="s">
        <v>128</v>
      </c>
      <c r="E36" s="32" t="s">
        <v>129</v>
      </c>
      <c r="F36" s="32" t="s">
        <v>32</v>
      </c>
      <c r="G36" s="32" t="s">
        <v>97</v>
      </c>
      <c r="H36" s="32" t="s">
        <v>111</v>
      </c>
      <c r="I36" s="32" t="s">
        <v>35</v>
      </c>
      <c r="J36" s="32">
        <v>15</v>
      </c>
      <c r="K36" s="71">
        <v>5022.5</v>
      </c>
      <c r="L36" s="61">
        <v>14.35</v>
      </c>
      <c r="M36" s="39">
        <v>350</v>
      </c>
      <c r="N36" s="39">
        <v>0</v>
      </c>
      <c r="O36" s="39">
        <v>0</v>
      </c>
      <c r="P36" s="40">
        <v>350</v>
      </c>
      <c r="Q36" s="67"/>
      <c r="R36" s="43">
        <v>3705</v>
      </c>
      <c r="S36" s="39">
        <v>1200</v>
      </c>
      <c r="T36" s="39">
        <v>1500</v>
      </c>
      <c r="U36" s="39"/>
      <c r="V36" s="39">
        <v>1005</v>
      </c>
      <c r="W36" s="45">
        <v>210</v>
      </c>
      <c r="X36" s="47">
        <v>1575</v>
      </c>
      <c r="Y36" s="39">
        <v>2630</v>
      </c>
      <c r="Z36" s="39">
        <v>3950</v>
      </c>
    </row>
    <row r="37" spans="1:31">
      <c r="A37" s="32" t="s">
        <v>130</v>
      </c>
      <c r="B37" s="93" t="s">
        <v>131</v>
      </c>
      <c r="C37" s="97" t="s">
        <v>127</v>
      </c>
      <c r="D37" t="s">
        <v>132</v>
      </c>
      <c r="E37" s="32" t="s">
        <v>133</v>
      </c>
      <c r="F37" s="32" t="s">
        <v>32</v>
      </c>
      <c r="G37" s="32" t="s">
        <v>97</v>
      </c>
      <c r="H37" s="32" t="s">
        <v>111</v>
      </c>
      <c r="I37" s="32" t="s">
        <v>35</v>
      </c>
      <c r="J37" s="32">
        <v>15</v>
      </c>
      <c r="K37" s="71">
        <v>21481.95</v>
      </c>
      <c r="L37" s="61">
        <v>14.35</v>
      </c>
      <c r="M37" s="39">
        <v>1497</v>
      </c>
      <c r="N37" s="39">
        <v>0</v>
      </c>
      <c r="O37" s="39">
        <v>0</v>
      </c>
      <c r="P37" s="40">
        <v>1497</v>
      </c>
      <c r="Q37" s="67"/>
      <c r="R37" s="43"/>
      <c r="S37" s="39"/>
      <c r="T37" s="39"/>
      <c r="U37" s="39"/>
      <c r="V37" s="39"/>
      <c r="W37" s="45"/>
      <c r="X37" s="47">
        <v>480</v>
      </c>
      <c r="Y37" s="39">
        <v>480</v>
      </c>
      <c r="Z37" s="39">
        <v>525</v>
      </c>
    </row>
    <row r="38" spans="1:31">
      <c r="A38" s="32" t="s">
        <v>134</v>
      </c>
      <c r="B38" s="93" t="s">
        <v>135</v>
      </c>
      <c r="C38" s="97" t="s">
        <v>88</v>
      </c>
      <c r="D38" s="111" t="s">
        <v>136</v>
      </c>
      <c r="E38" s="113" t="s">
        <v>137</v>
      </c>
      <c r="F38" s="32" t="s">
        <v>32</v>
      </c>
      <c r="G38" s="32" t="s">
        <v>33</v>
      </c>
      <c r="H38" s="32" t="s">
        <v>138</v>
      </c>
      <c r="I38" s="32" t="s">
        <v>35</v>
      </c>
      <c r="J38" s="32">
        <v>200</v>
      </c>
      <c r="K38" s="71">
        <v>0</v>
      </c>
      <c r="L38" s="61">
        <v>0.78</v>
      </c>
      <c r="M38" s="39">
        <v>0</v>
      </c>
      <c r="N38" s="39">
        <v>0</v>
      </c>
      <c r="O38" s="39">
        <v>2202</v>
      </c>
      <c r="P38" s="40">
        <v>0</v>
      </c>
      <c r="Q38" s="67"/>
      <c r="R38" s="43">
        <v>82000</v>
      </c>
      <c r="S38" s="39"/>
      <c r="T38" s="39">
        <v>72000</v>
      </c>
      <c r="U38" s="39">
        <v>10000</v>
      </c>
      <c r="V38" s="39"/>
      <c r="W38" s="45"/>
      <c r="X38" s="47">
        <v>14198</v>
      </c>
      <c r="Y38" s="39">
        <v>54800</v>
      </c>
      <c r="Z38" s="39">
        <v>79200</v>
      </c>
    </row>
    <row r="39" spans="1:31">
      <c r="A39" s="32" t="s">
        <v>139</v>
      </c>
      <c r="B39" s="93" t="s">
        <v>140</v>
      </c>
      <c r="C39" s="97" t="s">
        <v>88</v>
      </c>
      <c r="D39" t="s">
        <v>141</v>
      </c>
      <c r="E39" s="70" t="s">
        <v>142</v>
      </c>
      <c r="F39" s="32" t="s">
        <v>32</v>
      </c>
      <c r="G39" s="32" t="s">
        <v>33</v>
      </c>
      <c r="H39" s="32" t="s">
        <v>138</v>
      </c>
      <c r="I39" s="32" t="s">
        <v>35</v>
      </c>
      <c r="J39" s="32">
        <v>200</v>
      </c>
      <c r="K39" s="71">
        <v>6458.0999999999995</v>
      </c>
      <c r="L39" s="61">
        <v>0.95</v>
      </c>
      <c r="M39" s="39">
        <v>6798</v>
      </c>
      <c r="N39" s="39">
        <v>0</v>
      </c>
      <c r="O39" s="39">
        <v>0</v>
      </c>
      <c r="P39" s="40">
        <v>6798</v>
      </c>
      <c r="Q39" s="67"/>
      <c r="R39" s="43">
        <v>10000</v>
      </c>
      <c r="S39" s="39"/>
      <c r="T39" s="39"/>
      <c r="U39" s="39">
        <v>7000</v>
      </c>
      <c r="V39" s="39">
        <v>3000</v>
      </c>
      <c r="W39" s="45"/>
      <c r="X39" s="47">
        <v>1200</v>
      </c>
      <c r="Y39" s="39">
        <v>22200</v>
      </c>
      <c r="Z39" s="39">
        <v>27800</v>
      </c>
    </row>
    <row r="40" spans="1:31">
      <c r="A40" s="32" t="s">
        <v>143</v>
      </c>
      <c r="B40" s="93" t="s">
        <v>144</v>
      </c>
      <c r="C40" s="97" t="s">
        <v>88</v>
      </c>
      <c r="D40" t="s">
        <v>141</v>
      </c>
      <c r="E40" s="70" t="s">
        <v>142</v>
      </c>
      <c r="F40" s="32" t="s">
        <v>32</v>
      </c>
      <c r="G40" s="32" t="s">
        <v>33</v>
      </c>
      <c r="H40" s="32" t="s">
        <v>138</v>
      </c>
      <c r="I40" s="32" t="s">
        <v>35</v>
      </c>
      <c r="J40" s="32">
        <v>200</v>
      </c>
      <c r="K40" s="71">
        <v>632</v>
      </c>
      <c r="L40" s="61">
        <v>1.58</v>
      </c>
      <c r="M40" s="39">
        <v>400</v>
      </c>
      <c r="N40" s="39">
        <v>0</v>
      </c>
      <c r="O40" s="39">
        <v>0</v>
      </c>
      <c r="P40" s="40">
        <v>400</v>
      </c>
      <c r="Q40" s="67"/>
      <c r="R40" s="43">
        <v>5000</v>
      </c>
      <c r="S40" s="39"/>
      <c r="T40" s="39">
        <v>2000</v>
      </c>
      <c r="U40" s="39">
        <v>2000</v>
      </c>
      <c r="V40" s="39">
        <v>1000</v>
      </c>
      <c r="W40" s="45">
        <v>200</v>
      </c>
      <c r="X40" s="47">
        <v>2000</v>
      </c>
      <c r="Y40" s="39">
        <v>18000</v>
      </c>
      <c r="Z40" s="39">
        <v>21400</v>
      </c>
    </row>
    <row r="41" spans="1:31">
      <c r="A41" s="98" t="s">
        <v>145</v>
      </c>
      <c r="B41" s="99" t="s">
        <v>146</v>
      </c>
      <c r="C41" s="100" t="s">
        <v>147</v>
      </c>
      <c r="D41" s="110" t="s">
        <v>148</v>
      </c>
      <c r="E41" s="114" t="s">
        <v>149</v>
      </c>
      <c r="F41" s="98" t="s">
        <v>32</v>
      </c>
      <c r="G41" s="98" t="s">
        <v>84</v>
      </c>
      <c r="H41" s="98" t="s">
        <v>150</v>
      </c>
      <c r="I41" s="98" t="s">
        <v>35</v>
      </c>
      <c r="J41" s="98">
        <v>45</v>
      </c>
      <c r="K41" s="102">
        <v>79491.44</v>
      </c>
      <c r="L41" s="103">
        <v>4.34</v>
      </c>
      <c r="M41" s="104">
        <v>18316</v>
      </c>
      <c r="N41" s="104">
        <v>0</v>
      </c>
      <c r="O41" s="104">
        <v>0</v>
      </c>
      <c r="P41" s="105">
        <v>18316</v>
      </c>
      <c r="Q41" s="106"/>
      <c r="R41" s="107">
        <v>52770</v>
      </c>
      <c r="S41" s="104">
        <v>20610</v>
      </c>
      <c r="T41" s="104">
        <v>20160</v>
      </c>
      <c r="U41" s="104"/>
      <c r="V41" s="104">
        <v>12000</v>
      </c>
      <c r="W41" s="108">
        <v>2295</v>
      </c>
      <c r="X41" s="107">
        <v>22805</v>
      </c>
      <c r="Y41" s="104">
        <v>61341</v>
      </c>
      <c r="Z41" s="104">
        <v>102246</v>
      </c>
      <c r="AA41" s="101"/>
      <c r="AB41" s="101"/>
      <c r="AC41" s="101"/>
      <c r="AD41" s="101"/>
      <c r="AE41" s="101"/>
    </row>
    <row r="42" spans="1:31" ht="15.75" customHeight="1">
      <c r="A42" s="98" t="s">
        <v>151</v>
      </c>
      <c r="B42" s="99" t="s">
        <v>152</v>
      </c>
      <c r="C42" s="100" t="s">
        <v>153</v>
      </c>
      <c r="D42" s="101" t="s">
        <v>154</v>
      </c>
      <c r="E42" s="112" t="s">
        <v>155</v>
      </c>
      <c r="F42" s="98" t="s">
        <v>32</v>
      </c>
      <c r="G42" s="98" t="s">
        <v>84</v>
      </c>
      <c r="H42" s="98" t="s">
        <v>156</v>
      </c>
      <c r="I42" s="98" t="s">
        <v>35</v>
      </c>
      <c r="J42" s="98">
        <v>10</v>
      </c>
      <c r="K42" s="102">
        <v>37237.5</v>
      </c>
      <c r="L42" s="103">
        <v>9.93</v>
      </c>
      <c r="M42" s="104">
        <v>3750</v>
      </c>
      <c r="N42" s="104">
        <v>0</v>
      </c>
      <c r="O42" s="104">
        <v>0</v>
      </c>
      <c r="P42" s="105">
        <v>3750</v>
      </c>
      <c r="Q42" s="106"/>
      <c r="R42" s="107">
        <v>10500</v>
      </c>
      <c r="S42" s="104">
        <v>3000</v>
      </c>
      <c r="T42" s="104">
        <v>3500</v>
      </c>
      <c r="U42" s="104"/>
      <c r="V42" s="104">
        <v>4000</v>
      </c>
      <c r="W42" s="108"/>
      <c r="X42" s="107">
        <v>6750</v>
      </c>
      <c r="Y42" s="104">
        <v>14239</v>
      </c>
      <c r="Z42" s="104">
        <v>18639</v>
      </c>
      <c r="AA42" s="101"/>
      <c r="AB42" s="101"/>
      <c r="AC42" s="101"/>
      <c r="AD42" s="101"/>
      <c r="AE42" s="101"/>
    </row>
    <row r="43" spans="1:31">
      <c r="A43" s="98" t="s">
        <v>157</v>
      </c>
      <c r="B43" s="99" t="s">
        <v>158</v>
      </c>
      <c r="C43" s="100" t="s">
        <v>159</v>
      </c>
      <c r="D43" s="112" t="s">
        <v>160</v>
      </c>
      <c r="E43" s="112" t="s">
        <v>161</v>
      </c>
      <c r="F43" s="98" t="s">
        <v>32</v>
      </c>
      <c r="G43" s="98" t="s">
        <v>162</v>
      </c>
      <c r="H43" s="98" t="s">
        <v>163</v>
      </c>
      <c r="I43" s="98" t="s">
        <v>35</v>
      </c>
      <c r="J43" s="98">
        <v>8</v>
      </c>
      <c r="K43" s="102">
        <v>5607.84</v>
      </c>
      <c r="L43" s="103">
        <v>33.380000000000003</v>
      </c>
      <c r="M43" s="104">
        <v>168</v>
      </c>
      <c r="N43" s="104">
        <v>0</v>
      </c>
      <c r="O43" s="104">
        <v>0</v>
      </c>
      <c r="P43" s="105">
        <v>168</v>
      </c>
      <c r="Q43" s="106"/>
      <c r="R43" s="107">
        <v>504</v>
      </c>
      <c r="S43" s="104"/>
      <c r="T43" s="104"/>
      <c r="U43" s="104"/>
      <c r="V43" s="104">
        <v>504</v>
      </c>
      <c r="W43" s="108"/>
      <c r="X43" s="107">
        <v>768</v>
      </c>
      <c r="Y43" s="104">
        <v>920</v>
      </c>
      <c r="Z43" s="104">
        <v>1152</v>
      </c>
      <c r="AA43" s="101"/>
      <c r="AB43" s="101"/>
      <c r="AC43" s="101"/>
      <c r="AD43" s="101"/>
      <c r="AE43" s="101"/>
    </row>
    <row r="44" spans="1:31">
      <c r="A44" s="98" t="s">
        <v>164</v>
      </c>
      <c r="B44" s="99" t="s">
        <v>165</v>
      </c>
      <c r="C44" s="100" t="s">
        <v>159</v>
      </c>
      <c r="D44" s="112" t="s">
        <v>166</v>
      </c>
      <c r="E44" s="112" t="s">
        <v>167</v>
      </c>
      <c r="F44" s="98" t="s">
        <v>32</v>
      </c>
      <c r="G44" s="98" t="s">
        <v>162</v>
      </c>
      <c r="H44" s="98" t="s">
        <v>163</v>
      </c>
      <c r="I44" s="98" t="s">
        <v>35</v>
      </c>
      <c r="J44" s="98">
        <v>8</v>
      </c>
      <c r="K44" s="102">
        <v>0</v>
      </c>
      <c r="L44" s="103">
        <v>30.85</v>
      </c>
      <c r="M44" s="104">
        <v>0</v>
      </c>
      <c r="N44" s="104">
        <v>0</v>
      </c>
      <c r="O44" s="104">
        <v>0</v>
      </c>
      <c r="P44" s="105">
        <v>0</v>
      </c>
      <c r="Q44" s="106"/>
      <c r="R44" s="107">
        <v>704</v>
      </c>
      <c r="S44" s="104"/>
      <c r="T44" s="104"/>
      <c r="U44" s="104">
        <v>304</v>
      </c>
      <c r="V44" s="104">
        <v>400</v>
      </c>
      <c r="W44" s="108"/>
      <c r="X44" s="107">
        <v>656</v>
      </c>
      <c r="Y44" s="104">
        <v>760</v>
      </c>
      <c r="Z44" s="104">
        <v>1176</v>
      </c>
      <c r="AA44" s="101"/>
      <c r="AB44" s="101"/>
      <c r="AC44" s="101"/>
      <c r="AD44" s="101"/>
      <c r="AE44" s="101"/>
    </row>
    <row r="45" spans="1:31">
      <c r="A45" s="98" t="s">
        <v>168</v>
      </c>
      <c r="B45" s="99" t="s">
        <v>169</v>
      </c>
      <c r="C45" s="100" t="s">
        <v>159</v>
      </c>
      <c r="D45" s="112" t="s">
        <v>170</v>
      </c>
      <c r="E45" s="112" t="s">
        <v>171</v>
      </c>
      <c r="F45" s="98" t="s">
        <v>32</v>
      </c>
      <c r="G45" s="98" t="s">
        <v>162</v>
      </c>
      <c r="H45" s="98" t="s">
        <v>163</v>
      </c>
      <c r="I45" s="98" t="s">
        <v>35</v>
      </c>
      <c r="J45" s="98">
        <v>10</v>
      </c>
      <c r="K45" s="102">
        <v>1324.2</v>
      </c>
      <c r="L45" s="103">
        <v>22.07</v>
      </c>
      <c r="M45" s="105">
        <v>60</v>
      </c>
      <c r="N45" s="105">
        <v>0</v>
      </c>
      <c r="O45" s="105">
        <v>0</v>
      </c>
      <c r="P45" s="105">
        <v>60</v>
      </c>
      <c r="Q45" s="106"/>
      <c r="R45" s="107"/>
      <c r="S45" s="104"/>
      <c r="T45" s="104"/>
      <c r="U45" s="104"/>
      <c r="V45" s="104"/>
      <c r="W45" s="108"/>
      <c r="X45" s="107"/>
      <c r="Y45" s="104">
        <v>30</v>
      </c>
      <c r="Z45" s="104">
        <v>80</v>
      </c>
      <c r="AA45" s="101"/>
      <c r="AB45" s="101"/>
      <c r="AC45" s="101"/>
      <c r="AD45" s="101"/>
      <c r="AE45" s="101"/>
    </row>
    <row r="46" spans="1:31">
      <c r="A46" s="98" t="s">
        <v>172</v>
      </c>
      <c r="B46" s="99" t="s">
        <v>173</v>
      </c>
      <c r="C46" s="100" t="s">
        <v>159</v>
      </c>
      <c r="D46" s="112" t="s">
        <v>174</v>
      </c>
      <c r="E46" s="112" t="s">
        <v>175</v>
      </c>
      <c r="F46" s="98" t="s">
        <v>32</v>
      </c>
      <c r="G46" s="98" t="s">
        <v>162</v>
      </c>
      <c r="H46" s="98" t="s">
        <v>163</v>
      </c>
      <c r="I46" s="98" t="s">
        <v>35</v>
      </c>
      <c r="J46" s="98">
        <v>15</v>
      </c>
      <c r="K46" s="102">
        <v>22303.05</v>
      </c>
      <c r="L46" s="103">
        <v>19.309999999999999</v>
      </c>
      <c r="M46" s="105">
        <v>1155</v>
      </c>
      <c r="N46" s="105">
        <v>0</v>
      </c>
      <c r="O46" s="105">
        <v>0</v>
      </c>
      <c r="P46" s="105">
        <v>1155</v>
      </c>
      <c r="Q46" s="106"/>
      <c r="R46" s="107"/>
      <c r="S46" s="104"/>
      <c r="T46" s="104"/>
      <c r="U46" s="104"/>
      <c r="V46" s="104"/>
      <c r="W46" s="108"/>
      <c r="X46" s="107"/>
      <c r="Y46" s="104"/>
      <c r="Z46" s="104"/>
      <c r="AA46" s="101"/>
      <c r="AB46" s="101"/>
      <c r="AC46" s="101"/>
      <c r="AD46" s="101"/>
      <c r="AE46" s="101"/>
    </row>
    <row r="47" spans="1:31">
      <c r="A47" s="98" t="s">
        <v>176</v>
      </c>
      <c r="B47" s="99" t="s">
        <v>177</v>
      </c>
      <c r="C47" s="100" t="s">
        <v>178</v>
      </c>
      <c r="D47" s="110" t="s">
        <v>179</v>
      </c>
      <c r="E47" s="98" t="s">
        <v>180</v>
      </c>
      <c r="F47" s="98" t="s">
        <v>32</v>
      </c>
      <c r="G47" s="98" t="s">
        <v>84</v>
      </c>
      <c r="H47" s="98" t="s">
        <v>181</v>
      </c>
      <c r="I47" s="98" t="s">
        <v>35</v>
      </c>
      <c r="J47" s="98">
        <v>250</v>
      </c>
      <c r="K47" s="102">
        <v>90474</v>
      </c>
      <c r="L47" s="103">
        <v>0.51</v>
      </c>
      <c r="M47" s="104">
        <v>177400</v>
      </c>
      <c r="N47" s="104">
        <v>10000</v>
      </c>
      <c r="O47" s="104">
        <v>0</v>
      </c>
      <c r="P47" s="105">
        <v>167400</v>
      </c>
      <c r="Q47" s="106"/>
      <c r="R47" s="107">
        <v>340000</v>
      </c>
      <c r="S47" s="104">
        <v>180000</v>
      </c>
      <c r="T47" s="104">
        <v>80000</v>
      </c>
      <c r="U47" s="104"/>
      <c r="V47" s="104">
        <v>80000</v>
      </c>
      <c r="W47" s="108"/>
      <c r="X47" s="107">
        <v>186850</v>
      </c>
      <c r="Y47" s="104">
        <v>471600</v>
      </c>
      <c r="Z47" s="104">
        <v>690600</v>
      </c>
      <c r="AA47" s="101"/>
      <c r="AB47" s="101"/>
      <c r="AC47" s="101"/>
      <c r="AD47" s="101"/>
      <c r="AE47" s="101"/>
    </row>
    <row r="48" spans="1:31">
      <c r="A48" s="98" t="s">
        <v>182</v>
      </c>
      <c r="B48" s="99" t="s">
        <v>183</v>
      </c>
      <c r="C48" s="100" t="s">
        <v>81</v>
      </c>
      <c r="D48" s="110" t="s">
        <v>184</v>
      </c>
      <c r="E48" s="114" t="s">
        <v>185</v>
      </c>
      <c r="F48" s="98" t="s">
        <v>32</v>
      </c>
      <c r="G48" s="98" t="s">
        <v>84</v>
      </c>
      <c r="H48" s="98" t="s">
        <v>186</v>
      </c>
      <c r="I48" s="98" t="s">
        <v>35</v>
      </c>
      <c r="J48" s="98">
        <v>75</v>
      </c>
      <c r="K48" s="102">
        <v>212103.57</v>
      </c>
      <c r="L48" s="103">
        <v>2.71</v>
      </c>
      <c r="M48" s="104">
        <v>78267</v>
      </c>
      <c r="N48" s="104">
        <v>0</v>
      </c>
      <c r="O48" s="104">
        <v>0</v>
      </c>
      <c r="P48" s="105">
        <v>78267</v>
      </c>
      <c r="Q48" s="106"/>
      <c r="R48" s="107">
        <v>40125</v>
      </c>
      <c r="S48" s="104">
        <v>5025</v>
      </c>
      <c r="T48" s="104">
        <v>5100</v>
      </c>
      <c r="U48" s="104"/>
      <c r="V48" s="104">
        <v>30000</v>
      </c>
      <c r="W48" s="108">
        <v>300</v>
      </c>
      <c r="X48" s="107">
        <v>42675</v>
      </c>
      <c r="Y48" s="104">
        <v>91326</v>
      </c>
      <c r="Z48" s="104">
        <v>169551</v>
      </c>
      <c r="AA48" s="101"/>
      <c r="AB48" s="101"/>
      <c r="AC48" s="101"/>
      <c r="AD48" s="101"/>
      <c r="AE48" s="101"/>
    </row>
    <row r="49" spans="1:31">
      <c r="A49" s="98" t="s">
        <v>187</v>
      </c>
      <c r="B49" s="99" t="s">
        <v>188</v>
      </c>
      <c r="C49" s="100" t="s">
        <v>94</v>
      </c>
      <c r="D49" s="110" t="s">
        <v>189</v>
      </c>
      <c r="E49" s="114" t="s">
        <v>190</v>
      </c>
      <c r="F49" s="98" t="s">
        <v>32</v>
      </c>
      <c r="G49" s="98" t="s">
        <v>97</v>
      </c>
      <c r="H49" s="98" t="s">
        <v>98</v>
      </c>
      <c r="I49" s="98" t="s">
        <v>35</v>
      </c>
      <c r="J49" s="98">
        <v>50</v>
      </c>
      <c r="K49" s="102">
        <v>194395</v>
      </c>
      <c r="L49" s="103">
        <v>1.7</v>
      </c>
      <c r="M49" s="104">
        <v>114350</v>
      </c>
      <c r="N49" s="104">
        <v>0</v>
      </c>
      <c r="O49" s="104">
        <v>0</v>
      </c>
      <c r="P49" s="105">
        <v>114350</v>
      </c>
      <c r="Q49" s="106"/>
      <c r="R49" s="107">
        <v>215000</v>
      </c>
      <c r="S49" s="104"/>
      <c r="T49" s="104">
        <v>160000</v>
      </c>
      <c r="U49" s="104">
        <v>20000</v>
      </c>
      <c r="V49" s="104">
        <v>35000</v>
      </c>
      <c r="W49" s="108">
        <v>1000</v>
      </c>
      <c r="X49" s="107">
        <v>91400</v>
      </c>
      <c r="Y49" s="104">
        <v>209650</v>
      </c>
      <c r="Z49" s="104">
        <v>244750</v>
      </c>
      <c r="AA49" s="101"/>
      <c r="AB49" s="101"/>
      <c r="AC49" s="101"/>
      <c r="AD49" s="101"/>
      <c r="AE49" s="101"/>
    </row>
    <row r="50" spans="1:31">
      <c r="A50" s="98" t="s">
        <v>191</v>
      </c>
      <c r="B50" s="99" t="s">
        <v>192</v>
      </c>
      <c r="C50" s="100" t="s">
        <v>94</v>
      </c>
      <c r="D50" s="110" t="s">
        <v>193</v>
      </c>
      <c r="E50" s="114" t="s">
        <v>194</v>
      </c>
      <c r="F50" s="98" t="s">
        <v>32</v>
      </c>
      <c r="G50" s="98" t="s">
        <v>97</v>
      </c>
      <c r="H50" s="98" t="s">
        <v>98</v>
      </c>
      <c r="I50" s="98" t="s">
        <v>35</v>
      </c>
      <c r="J50" s="98">
        <v>50</v>
      </c>
      <c r="K50" s="102">
        <v>52717.5</v>
      </c>
      <c r="L50" s="103">
        <v>2.97</v>
      </c>
      <c r="M50" s="104">
        <v>17750</v>
      </c>
      <c r="N50" s="104">
        <v>0</v>
      </c>
      <c r="O50" s="104">
        <v>0</v>
      </c>
      <c r="P50" s="105">
        <v>17750</v>
      </c>
      <c r="Q50" s="106"/>
      <c r="R50" s="107"/>
      <c r="S50" s="104"/>
      <c r="T50" s="104"/>
      <c r="U50" s="104"/>
      <c r="V50" s="104"/>
      <c r="W50" s="108"/>
      <c r="X50" s="107">
        <v>5381</v>
      </c>
      <c r="Y50" s="104">
        <v>14731</v>
      </c>
      <c r="Z50" s="104">
        <v>25031</v>
      </c>
      <c r="AA50" s="101"/>
      <c r="AB50" s="101"/>
      <c r="AC50" s="101"/>
      <c r="AD50" s="101"/>
      <c r="AE50" s="101"/>
    </row>
    <row r="51" spans="1:31">
      <c r="A51" s="98" t="s">
        <v>195</v>
      </c>
      <c r="B51" s="99" t="s">
        <v>196</v>
      </c>
      <c r="C51" s="100" t="s">
        <v>127</v>
      </c>
      <c r="D51" t="s">
        <v>197</v>
      </c>
      <c r="E51" t="s">
        <v>198</v>
      </c>
      <c r="F51" s="98" t="s">
        <v>32</v>
      </c>
      <c r="G51" s="98" t="s">
        <v>97</v>
      </c>
      <c r="H51" s="98" t="s">
        <v>111</v>
      </c>
      <c r="I51" s="98" t="s">
        <v>35</v>
      </c>
      <c r="J51" s="98">
        <v>10</v>
      </c>
      <c r="K51" s="102">
        <v>637511.39999999991</v>
      </c>
      <c r="L51" s="103">
        <v>17.88</v>
      </c>
      <c r="M51" s="104">
        <v>35655</v>
      </c>
      <c r="N51" s="104">
        <v>0</v>
      </c>
      <c r="O51" s="104">
        <v>0</v>
      </c>
      <c r="P51" s="105">
        <v>35655</v>
      </c>
      <c r="Q51" s="106"/>
      <c r="R51" s="107">
        <v>5000</v>
      </c>
      <c r="S51" s="104"/>
      <c r="T51" s="104"/>
      <c r="U51" s="104"/>
      <c r="V51" s="104">
        <v>5000</v>
      </c>
      <c r="W51" s="108">
        <v>400</v>
      </c>
      <c r="X51" s="107">
        <v>12960</v>
      </c>
      <c r="Y51" s="104">
        <v>25218</v>
      </c>
      <c r="Z51" s="104">
        <v>49198</v>
      </c>
      <c r="AA51" s="101"/>
      <c r="AB51" s="101"/>
      <c r="AC51" s="101"/>
      <c r="AD51" s="101"/>
      <c r="AE51" s="101"/>
    </row>
    <row r="52" spans="1:31" s="86" customFormat="1">
      <c r="A52" s="98" t="s">
        <v>199</v>
      </c>
      <c r="B52" s="99" t="s">
        <v>200</v>
      </c>
      <c r="C52" s="100" t="s">
        <v>127</v>
      </c>
      <c r="D52" t="s">
        <v>201</v>
      </c>
      <c r="E52" t="s">
        <v>202</v>
      </c>
      <c r="F52" s="98" t="s">
        <v>32</v>
      </c>
      <c r="G52" s="98" t="s">
        <v>97</v>
      </c>
      <c r="H52" s="98" t="s">
        <v>111</v>
      </c>
      <c r="I52" s="98" t="s">
        <v>35</v>
      </c>
      <c r="J52" s="98">
        <v>10</v>
      </c>
      <c r="K52" s="102">
        <v>77418</v>
      </c>
      <c r="L52" s="103">
        <v>15.64</v>
      </c>
      <c r="M52" s="104">
        <v>4950</v>
      </c>
      <c r="N52" s="104">
        <v>0</v>
      </c>
      <c r="O52" s="104">
        <v>0</v>
      </c>
      <c r="P52" s="105">
        <v>4950</v>
      </c>
      <c r="Q52" s="106"/>
      <c r="R52" s="107">
        <v>11000</v>
      </c>
      <c r="S52" s="104">
        <v>5500</v>
      </c>
      <c r="T52" s="104">
        <v>3500</v>
      </c>
      <c r="U52" s="104"/>
      <c r="V52" s="104">
        <v>2000</v>
      </c>
      <c r="W52" s="108">
        <v>600</v>
      </c>
      <c r="X52" s="107">
        <v>5570</v>
      </c>
      <c r="Y52" s="104">
        <v>12990</v>
      </c>
      <c r="Z52" s="104">
        <v>17740</v>
      </c>
      <c r="AA52" s="101"/>
      <c r="AB52" s="101"/>
      <c r="AC52" s="101"/>
      <c r="AD52" s="101"/>
      <c r="AE52" s="101"/>
    </row>
    <row r="53" spans="1:31" s="101" customFormat="1">
      <c r="A53" s="98" t="s">
        <v>203</v>
      </c>
      <c r="B53" s="99" t="s">
        <v>204</v>
      </c>
      <c r="C53" s="100" t="s">
        <v>159</v>
      </c>
      <c r="D53" s="112" t="s">
        <v>205</v>
      </c>
      <c r="E53" s="112" t="s">
        <v>206</v>
      </c>
      <c r="F53" s="98" t="s">
        <v>32</v>
      </c>
      <c r="G53" s="98" t="s">
        <v>162</v>
      </c>
      <c r="H53" s="98" t="s">
        <v>163</v>
      </c>
      <c r="I53" s="98" t="s">
        <v>35</v>
      </c>
      <c r="J53" s="98">
        <v>5</v>
      </c>
      <c r="K53" s="102">
        <v>0</v>
      </c>
      <c r="L53" s="103">
        <v>33.380000000000003</v>
      </c>
      <c r="M53" s="104">
        <v>0</v>
      </c>
      <c r="N53" s="104">
        <v>0</v>
      </c>
      <c r="O53" s="104">
        <v>15</v>
      </c>
      <c r="P53" s="105">
        <v>0</v>
      </c>
      <c r="Q53" s="106"/>
      <c r="R53" s="107">
        <v>4100</v>
      </c>
      <c r="S53" s="104">
        <v>1550</v>
      </c>
      <c r="T53" s="104">
        <v>1950</v>
      </c>
      <c r="U53" s="104"/>
      <c r="V53" s="104">
        <v>600</v>
      </c>
      <c r="W53" s="108"/>
      <c r="X53" s="107">
        <v>2450</v>
      </c>
      <c r="Y53" s="104">
        <v>4858</v>
      </c>
      <c r="Z53" s="104">
        <v>7698</v>
      </c>
    </row>
    <row r="54" spans="1:31">
      <c r="A54" s="98" t="s">
        <v>207</v>
      </c>
      <c r="B54" s="99" t="s">
        <v>208</v>
      </c>
      <c r="C54" s="100" t="s">
        <v>159</v>
      </c>
      <c r="D54" s="112" t="s">
        <v>209</v>
      </c>
      <c r="E54" s="98" t="s">
        <v>210</v>
      </c>
      <c r="F54" s="98" t="s">
        <v>32</v>
      </c>
      <c r="G54" s="98" t="s">
        <v>162</v>
      </c>
      <c r="H54" s="98" t="s">
        <v>163</v>
      </c>
      <c r="I54" s="98" t="s">
        <v>35</v>
      </c>
      <c r="J54" s="98">
        <v>8</v>
      </c>
      <c r="K54" s="102">
        <v>22674.75</v>
      </c>
      <c r="L54" s="103">
        <v>30.85</v>
      </c>
      <c r="M54" s="104">
        <v>735</v>
      </c>
      <c r="N54" s="104">
        <v>0</v>
      </c>
      <c r="O54" s="104">
        <v>0</v>
      </c>
      <c r="P54" s="105">
        <v>735</v>
      </c>
      <c r="Q54" s="106"/>
      <c r="R54" s="107">
        <v>808</v>
      </c>
      <c r="S54" s="104">
        <v>504</v>
      </c>
      <c r="T54" s="104">
        <v>304</v>
      </c>
      <c r="U54" s="104"/>
      <c r="V54" s="104"/>
      <c r="W54" s="108">
        <v>400</v>
      </c>
      <c r="X54" s="107">
        <v>1813</v>
      </c>
      <c r="Y54" s="104">
        <v>2125</v>
      </c>
      <c r="Z54" s="104">
        <v>3405</v>
      </c>
      <c r="AA54" s="101"/>
      <c r="AB54" s="101"/>
      <c r="AC54" s="101"/>
      <c r="AD54" s="101"/>
      <c r="AE54" s="101"/>
    </row>
    <row r="55" spans="1:31">
      <c r="A55" s="98" t="s">
        <v>211</v>
      </c>
      <c r="B55" s="99" t="s">
        <v>212</v>
      </c>
      <c r="C55" s="100" t="s">
        <v>127</v>
      </c>
      <c r="D55" t="s">
        <v>213</v>
      </c>
      <c r="E55" t="s">
        <v>214</v>
      </c>
      <c r="F55" s="98" t="s">
        <v>32</v>
      </c>
      <c r="G55" s="98" t="s">
        <v>97</v>
      </c>
      <c r="H55" s="98" t="s">
        <v>111</v>
      </c>
      <c r="I55" s="98" t="s">
        <v>35</v>
      </c>
      <c r="J55" s="98">
        <v>12</v>
      </c>
      <c r="K55" s="102">
        <v>18235.95</v>
      </c>
      <c r="L55" s="103">
        <v>19.93</v>
      </c>
      <c r="M55" s="104">
        <v>915</v>
      </c>
      <c r="N55" s="104">
        <v>0</v>
      </c>
      <c r="O55" s="104">
        <v>0</v>
      </c>
      <c r="P55" s="105">
        <v>915</v>
      </c>
      <c r="Q55" s="106"/>
      <c r="R55" s="107">
        <v>14008</v>
      </c>
      <c r="S55" s="104">
        <v>3000</v>
      </c>
      <c r="T55" s="104">
        <v>7008</v>
      </c>
      <c r="U55" s="104"/>
      <c r="V55" s="104">
        <v>4000</v>
      </c>
      <c r="W55" s="108">
        <v>204</v>
      </c>
      <c r="X55" s="107">
        <v>4972</v>
      </c>
      <c r="Y55" s="104">
        <v>8109</v>
      </c>
      <c r="Z55" s="104">
        <v>15342</v>
      </c>
      <c r="AA55" s="101"/>
      <c r="AB55" s="101"/>
      <c r="AC55" s="101"/>
      <c r="AD55" s="101"/>
      <c r="AE55" s="101"/>
    </row>
    <row r="56" spans="1:31">
      <c r="A56" s="98" t="s">
        <v>215</v>
      </c>
      <c r="B56" s="99" t="s">
        <v>216</v>
      </c>
      <c r="C56" s="100" t="s">
        <v>127</v>
      </c>
      <c r="D56" t="s">
        <v>217</v>
      </c>
      <c r="E56" t="s">
        <v>218</v>
      </c>
      <c r="F56" s="98" t="s">
        <v>32</v>
      </c>
      <c r="G56" s="98" t="s">
        <v>97</v>
      </c>
      <c r="H56" s="98" t="s">
        <v>111</v>
      </c>
      <c r="I56" s="98" t="s">
        <v>35</v>
      </c>
      <c r="J56" s="98">
        <v>12</v>
      </c>
      <c r="K56" s="102">
        <v>88309.83</v>
      </c>
      <c r="L56" s="103">
        <v>19.93</v>
      </c>
      <c r="M56" s="104">
        <v>4431</v>
      </c>
      <c r="N56" s="104">
        <v>0</v>
      </c>
      <c r="O56" s="104">
        <v>0</v>
      </c>
      <c r="P56" s="105">
        <v>4431</v>
      </c>
      <c r="Q56" s="106"/>
      <c r="R56" s="107"/>
      <c r="S56" s="104"/>
      <c r="T56" s="104"/>
      <c r="U56" s="104"/>
      <c r="V56" s="104"/>
      <c r="W56" s="108"/>
      <c r="X56" s="107">
        <v>480</v>
      </c>
      <c r="Y56" s="104">
        <v>720</v>
      </c>
      <c r="Z56" s="104">
        <v>768</v>
      </c>
      <c r="AA56" s="101"/>
      <c r="AB56" s="101"/>
      <c r="AC56" s="101"/>
      <c r="AD56" s="101"/>
      <c r="AE56" s="101"/>
    </row>
    <row r="57" spans="1:31">
      <c r="A57" s="98" t="s">
        <v>219</v>
      </c>
      <c r="B57" s="99" t="s">
        <v>220</v>
      </c>
      <c r="C57" s="100" t="s">
        <v>127</v>
      </c>
      <c r="D57" t="s">
        <v>221</v>
      </c>
      <c r="E57" t="s">
        <v>222</v>
      </c>
      <c r="F57" s="98" t="s">
        <v>32</v>
      </c>
      <c r="G57" s="98" t="s">
        <v>97</v>
      </c>
      <c r="H57" s="98" t="s">
        <v>111</v>
      </c>
      <c r="I57" s="98" t="s">
        <v>35</v>
      </c>
      <c r="J57" s="98">
        <v>15</v>
      </c>
      <c r="K57" s="102">
        <v>12504.9</v>
      </c>
      <c r="L57" s="103">
        <v>17.13</v>
      </c>
      <c r="M57" s="104">
        <v>730</v>
      </c>
      <c r="N57" s="104">
        <v>0</v>
      </c>
      <c r="O57" s="104">
        <v>0</v>
      </c>
      <c r="P57" s="105">
        <v>730</v>
      </c>
      <c r="Q57" s="106"/>
      <c r="R57" s="107">
        <v>1800</v>
      </c>
      <c r="S57" s="104"/>
      <c r="T57" s="104"/>
      <c r="U57" s="104"/>
      <c r="V57" s="104">
        <v>1800</v>
      </c>
      <c r="W57" s="108">
        <v>240</v>
      </c>
      <c r="X57" s="107">
        <v>2565</v>
      </c>
      <c r="Y57" s="104">
        <v>3125</v>
      </c>
      <c r="Z57" s="104">
        <v>4640</v>
      </c>
      <c r="AA57" s="101"/>
      <c r="AB57" s="101"/>
      <c r="AC57" s="101"/>
      <c r="AD57" s="101"/>
      <c r="AE57" s="101"/>
    </row>
    <row r="58" spans="1:31" s="101" customFormat="1">
      <c r="A58" s="98" t="s">
        <v>223</v>
      </c>
      <c r="B58" s="99" t="s">
        <v>224</v>
      </c>
      <c r="C58" s="100" t="s">
        <v>127</v>
      </c>
      <c r="D58" t="s">
        <v>225</v>
      </c>
      <c r="E58" t="s">
        <v>226</v>
      </c>
      <c r="F58" s="98" t="s">
        <v>32</v>
      </c>
      <c r="G58" s="98" t="s">
        <v>97</v>
      </c>
      <c r="H58" s="98" t="s">
        <v>111</v>
      </c>
      <c r="I58" s="98" t="s">
        <v>35</v>
      </c>
      <c r="J58" s="98">
        <v>15</v>
      </c>
      <c r="K58" s="102">
        <v>8873.34</v>
      </c>
      <c r="L58" s="103">
        <v>17.13</v>
      </c>
      <c r="M58" s="104">
        <v>518</v>
      </c>
      <c r="N58" s="104">
        <v>0</v>
      </c>
      <c r="O58" s="104">
        <v>0</v>
      </c>
      <c r="P58" s="105">
        <v>518</v>
      </c>
      <c r="Q58" s="106"/>
      <c r="R58" s="107"/>
      <c r="S58" s="104"/>
      <c r="T58" s="104"/>
      <c r="U58" s="104"/>
      <c r="V58" s="104"/>
      <c r="W58" s="108"/>
      <c r="X58" s="107">
        <v>525</v>
      </c>
      <c r="Y58" s="104">
        <v>675</v>
      </c>
      <c r="Z58" s="104">
        <v>765</v>
      </c>
    </row>
    <row r="59" spans="1:31">
      <c r="A59" s="88" t="s">
        <v>227</v>
      </c>
      <c r="B59" s="92" t="s">
        <v>228</v>
      </c>
      <c r="C59" s="97" t="s">
        <v>178</v>
      </c>
      <c r="D59" t="s">
        <v>229</v>
      </c>
      <c r="E59" s="113" t="s">
        <v>230</v>
      </c>
      <c r="F59" s="32" t="s">
        <v>32</v>
      </c>
      <c r="G59" s="32" t="s">
        <v>84</v>
      </c>
      <c r="H59" s="32" t="s">
        <v>181</v>
      </c>
      <c r="I59" s="32" t="s">
        <v>231</v>
      </c>
      <c r="J59" s="32">
        <v>200</v>
      </c>
      <c r="K59" s="71">
        <v>1800</v>
      </c>
      <c r="L59" s="61">
        <v>0.9</v>
      </c>
      <c r="M59" s="39">
        <v>2000</v>
      </c>
      <c r="N59" s="39">
        <v>0</v>
      </c>
      <c r="O59" s="39">
        <v>0</v>
      </c>
      <c r="P59" s="40">
        <v>2000</v>
      </c>
      <c r="Q59" s="67"/>
      <c r="R59" s="43"/>
      <c r="S59" s="39"/>
      <c r="T59" s="39"/>
      <c r="U59" s="39"/>
      <c r="V59" s="39"/>
      <c r="W59" s="45"/>
      <c r="X59" s="47"/>
      <c r="Y59" s="39"/>
      <c r="Z59" s="39"/>
    </row>
    <row r="60" spans="1:31">
      <c r="A60" s="88" t="s">
        <v>232</v>
      </c>
      <c r="B60" s="92" t="s">
        <v>233</v>
      </c>
      <c r="C60" s="97" t="s">
        <v>127</v>
      </c>
      <c r="D60" t="s">
        <v>234</v>
      </c>
      <c r="E60" t="s">
        <v>235</v>
      </c>
      <c r="F60" s="32" t="s">
        <v>32</v>
      </c>
      <c r="G60" s="32" t="s">
        <v>97</v>
      </c>
      <c r="H60" s="32" t="s">
        <v>111</v>
      </c>
      <c r="I60" s="32" t="s">
        <v>231</v>
      </c>
      <c r="J60" s="32">
        <v>20</v>
      </c>
      <c r="K60" s="71">
        <v>5478.84</v>
      </c>
      <c r="L60" s="61">
        <v>16.91</v>
      </c>
      <c r="M60" s="39">
        <v>324</v>
      </c>
      <c r="N60" s="39">
        <v>0</v>
      </c>
      <c r="O60" s="39">
        <v>0</v>
      </c>
      <c r="P60" s="40">
        <v>324</v>
      </c>
      <c r="Q60" s="67"/>
      <c r="R60" s="43"/>
      <c r="S60" s="39"/>
      <c r="T60" s="39"/>
      <c r="U60" s="39"/>
      <c r="V60" s="39"/>
      <c r="W60" s="45"/>
      <c r="X60" s="47">
        <v>160</v>
      </c>
      <c r="Y60" s="39">
        <v>160</v>
      </c>
      <c r="Z60" s="39">
        <v>160</v>
      </c>
    </row>
    <row r="61" spans="1:31">
      <c r="A61" s="88" t="s">
        <v>236</v>
      </c>
      <c r="B61" s="92" t="s">
        <v>237</v>
      </c>
      <c r="C61" s="97" t="s">
        <v>81</v>
      </c>
      <c r="D61" t="s">
        <v>238</v>
      </c>
      <c r="E61" s="113" t="s">
        <v>239</v>
      </c>
      <c r="F61" s="32" t="s">
        <v>32</v>
      </c>
      <c r="G61" s="32" t="s">
        <v>84</v>
      </c>
      <c r="H61" s="32" t="s">
        <v>120</v>
      </c>
      <c r="I61" s="32" t="s">
        <v>231</v>
      </c>
      <c r="J61" s="32">
        <v>20</v>
      </c>
      <c r="K61" s="71">
        <v>0</v>
      </c>
      <c r="L61" s="61">
        <v>12.18</v>
      </c>
      <c r="M61" s="39">
        <v>0</v>
      </c>
      <c r="N61" s="39">
        <v>0</v>
      </c>
      <c r="O61" s="39">
        <v>80</v>
      </c>
      <c r="P61" s="40">
        <v>0</v>
      </c>
      <c r="Q61" s="67"/>
      <c r="R61" s="43">
        <v>1000</v>
      </c>
      <c r="S61" s="39">
        <v>1000</v>
      </c>
      <c r="T61" s="39"/>
      <c r="U61" s="39"/>
      <c r="V61" s="39"/>
      <c r="W61" s="45"/>
      <c r="X61" s="47">
        <v>0</v>
      </c>
      <c r="Y61" s="39">
        <v>320</v>
      </c>
      <c r="Z61" s="39">
        <v>320</v>
      </c>
    </row>
    <row r="62" spans="1:31">
      <c r="A62" s="88" t="s">
        <v>240</v>
      </c>
      <c r="B62" s="92" t="s">
        <v>241</v>
      </c>
      <c r="C62" s="97" t="s">
        <v>81</v>
      </c>
      <c r="D62" t="s">
        <v>238</v>
      </c>
      <c r="E62" t="s">
        <v>242</v>
      </c>
      <c r="F62" s="32" t="s">
        <v>32</v>
      </c>
      <c r="G62" s="32" t="s">
        <v>84</v>
      </c>
      <c r="H62" s="32" t="s">
        <v>120</v>
      </c>
      <c r="I62" s="32" t="s">
        <v>231</v>
      </c>
      <c r="J62" s="32">
        <v>20</v>
      </c>
      <c r="K62" s="71">
        <v>0</v>
      </c>
      <c r="L62" s="61">
        <v>12.18</v>
      </c>
      <c r="M62" s="39">
        <v>0</v>
      </c>
      <c r="N62" s="39">
        <v>0</v>
      </c>
      <c r="O62" s="39">
        <v>0</v>
      </c>
      <c r="P62" s="40">
        <v>0</v>
      </c>
      <c r="Q62" s="67"/>
      <c r="R62" s="43">
        <v>1440</v>
      </c>
      <c r="S62" s="39">
        <v>1440</v>
      </c>
      <c r="T62" s="39"/>
      <c r="U62" s="39"/>
      <c r="V62" s="39"/>
      <c r="W62" s="45"/>
      <c r="X62" s="47"/>
      <c r="Y62" s="39"/>
      <c r="Z62" s="39"/>
    </row>
    <row r="63" spans="1:31" s="101" customFormat="1">
      <c r="A63" s="88" t="s">
        <v>243</v>
      </c>
      <c r="B63" s="92" t="s">
        <v>244</v>
      </c>
      <c r="C63" s="97" t="s">
        <v>245</v>
      </c>
      <c r="D63" t="s">
        <v>246</v>
      </c>
      <c r="E63" s="113" t="s">
        <v>247</v>
      </c>
      <c r="F63" s="32" t="s">
        <v>32</v>
      </c>
      <c r="G63" s="32" t="s">
        <v>248</v>
      </c>
      <c r="H63" s="32" t="s">
        <v>249</v>
      </c>
      <c r="I63" s="32" t="s">
        <v>231</v>
      </c>
      <c r="J63" s="32">
        <v>30</v>
      </c>
      <c r="K63" s="71">
        <v>5873.4000000000005</v>
      </c>
      <c r="L63" s="61">
        <v>32.630000000000003</v>
      </c>
      <c r="M63" s="39">
        <v>180</v>
      </c>
      <c r="N63" s="39">
        <v>0</v>
      </c>
      <c r="O63" s="39">
        <v>0</v>
      </c>
      <c r="P63" s="40">
        <v>180</v>
      </c>
      <c r="Q63" s="67"/>
      <c r="R63" s="43"/>
      <c r="S63" s="39"/>
      <c r="T63" s="39"/>
      <c r="U63" s="39"/>
      <c r="V63" s="39"/>
      <c r="W63" s="45"/>
      <c r="X63" s="47"/>
      <c r="Y63" s="39">
        <v>120</v>
      </c>
      <c r="Z63" s="39">
        <v>120</v>
      </c>
      <c r="AA63"/>
      <c r="AB63"/>
      <c r="AC63"/>
      <c r="AD63"/>
      <c r="AE63"/>
    </row>
    <row r="64" spans="1:31" s="101" customFormat="1">
      <c r="A64" s="88" t="s">
        <v>250</v>
      </c>
      <c r="B64" s="92" t="s">
        <v>251</v>
      </c>
      <c r="C64" s="97" t="s">
        <v>245</v>
      </c>
      <c r="D64" s="111" t="s">
        <v>246</v>
      </c>
      <c r="E64" s="113" t="s">
        <v>247</v>
      </c>
      <c r="F64" s="32" t="s">
        <v>32</v>
      </c>
      <c r="G64" s="32" t="s">
        <v>248</v>
      </c>
      <c r="H64" s="32" t="s">
        <v>249</v>
      </c>
      <c r="I64" s="32" t="s">
        <v>231</v>
      </c>
      <c r="J64" s="32">
        <v>30</v>
      </c>
      <c r="K64" s="71">
        <v>8706</v>
      </c>
      <c r="L64" s="61">
        <v>29.02</v>
      </c>
      <c r="M64" s="39">
        <v>300</v>
      </c>
      <c r="N64" s="39">
        <v>0</v>
      </c>
      <c r="O64" s="39">
        <v>0</v>
      </c>
      <c r="P64" s="40">
        <v>300</v>
      </c>
      <c r="Q64" s="67"/>
      <c r="R64" s="43"/>
      <c r="S64" s="39"/>
      <c r="T64" s="39"/>
      <c r="U64" s="39"/>
      <c r="V64" s="39"/>
      <c r="W64" s="45"/>
      <c r="X64" s="47"/>
      <c r="Y64" s="39"/>
      <c r="Z64" s="39"/>
      <c r="AA64"/>
      <c r="AB64"/>
      <c r="AC64"/>
      <c r="AD64"/>
      <c r="AE64"/>
    </row>
    <row r="65" spans="1:31" s="101" customFormat="1">
      <c r="A65" s="88" t="s">
        <v>252</v>
      </c>
      <c r="B65" s="92" t="s">
        <v>253</v>
      </c>
      <c r="C65" s="97" t="s">
        <v>81</v>
      </c>
      <c r="D65" s="111" t="s">
        <v>254</v>
      </c>
      <c r="E65" s="113" t="s">
        <v>255</v>
      </c>
      <c r="F65" s="32" t="s">
        <v>32</v>
      </c>
      <c r="G65" s="32" t="s">
        <v>84</v>
      </c>
      <c r="H65" s="32" t="s">
        <v>120</v>
      </c>
      <c r="I65" s="32" t="s">
        <v>231</v>
      </c>
      <c r="J65" s="32">
        <v>20</v>
      </c>
      <c r="K65" s="71">
        <v>0</v>
      </c>
      <c r="L65" s="61">
        <v>12.18</v>
      </c>
      <c r="M65" s="39">
        <v>0</v>
      </c>
      <c r="N65" s="39">
        <v>0</v>
      </c>
      <c r="O65" s="39">
        <v>180</v>
      </c>
      <c r="P65" s="40">
        <v>0</v>
      </c>
      <c r="Q65" s="67"/>
      <c r="R65" s="43">
        <v>1040</v>
      </c>
      <c r="S65" s="39">
        <v>1040</v>
      </c>
      <c r="T65" s="39"/>
      <c r="U65" s="39"/>
      <c r="V65" s="39"/>
      <c r="W65" s="45"/>
      <c r="X65" s="47">
        <v>0</v>
      </c>
      <c r="Y65" s="39">
        <v>920</v>
      </c>
      <c r="Z65" s="39">
        <v>920</v>
      </c>
      <c r="AA65"/>
      <c r="AB65"/>
      <c r="AC65"/>
      <c r="AD65"/>
      <c r="AE65"/>
    </row>
    <row r="66" spans="1:31" s="101" customFormat="1">
      <c r="A66" s="88" t="s">
        <v>256</v>
      </c>
      <c r="B66" s="92" t="s">
        <v>257</v>
      </c>
      <c r="C66" s="97" t="s">
        <v>127</v>
      </c>
      <c r="D66" t="s">
        <v>258</v>
      </c>
      <c r="E66" t="s">
        <v>235</v>
      </c>
      <c r="F66" s="32" t="s">
        <v>32</v>
      </c>
      <c r="G66" s="32" t="s">
        <v>97</v>
      </c>
      <c r="H66" s="32" t="s">
        <v>111</v>
      </c>
      <c r="I66" s="32" t="s">
        <v>231</v>
      </c>
      <c r="J66" s="32">
        <v>20</v>
      </c>
      <c r="K66" s="71">
        <v>3075.7999999999997</v>
      </c>
      <c r="L66" s="61">
        <v>21.97</v>
      </c>
      <c r="M66" s="39">
        <v>140</v>
      </c>
      <c r="N66" s="39">
        <v>0</v>
      </c>
      <c r="O66" s="39">
        <v>0</v>
      </c>
      <c r="P66" s="40">
        <v>140</v>
      </c>
      <c r="Q66" s="67"/>
      <c r="R66" s="43"/>
      <c r="S66" s="39"/>
      <c r="T66" s="39"/>
      <c r="U66" s="39"/>
      <c r="V66" s="39"/>
      <c r="W66" s="45"/>
      <c r="X66" s="47">
        <v>160</v>
      </c>
      <c r="Y66" s="39">
        <v>320</v>
      </c>
      <c r="Z66" s="39">
        <v>320</v>
      </c>
      <c r="AA66"/>
      <c r="AB66"/>
      <c r="AC66"/>
      <c r="AD66"/>
      <c r="AE66"/>
    </row>
    <row r="67" spans="1:31" s="101" customFormat="1">
      <c r="A67" s="87" t="s">
        <v>259</v>
      </c>
      <c r="B67" s="94" t="s">
        <v>260</v>
      </c>
      <c r="C67" s="97" t="s">
        <v>127</v>
      </c>
      <c r="D67" t="s">
        <v>261</v>
      </c>
      <c r="E67" t="s">
        <v>262</v>
      </c>
      <c r="F67" s="32" t="s">
        <v>32</v>
      </c>
      <c r="G67" s="32" t="s">
        <v>97</v>
      </c>
      <c r="H67" s="32" t="s">
        <v>111</v>
      </c>
      <c r="I67" s="32" t="s">
        <v>35</v>
      </c>
      <c r="J67" s="32">
        <v>15</v>
      </c>
      <c r="K67" s="71">
        <v>0</v>
      </c>
      <c r="L67" s="61">
        <v>16.47</v>
      </c>
      <c r="M67" s="39">
        <v>0</v>
      </c>
      <c r="N67" s="39">
        <v>0</v>
      </c>
      <c r="O67" s="39">
        <v>0</v>
      </c>
      <c r="P67" s="40">
        <v>0</v>
      </c>
      <c r="Q67" s="67"/>
      <c r="R67" s="43">
        <v>3300</v>
      </c>
      <c r="S67" s="39"/>
      <c r="T67" s="39"/>
      <c r="U67" s="39">
        <v>3300</v>
      </c>
      <c r="V67" s="39"/>
      <c r="W67" s="45"/>
      <c r="X67" s="47">
        <v>810</v>
      </c>
      <c r="Y67" s="39">
        <v>810</v>
      </c>
      <c r="Z67" s="39">
        <v>810</v>
      </c>
      <c r="AA67"/>
      <c r="AB67"/>
      <c r="AC67"/>
      <c r="AD67"/>
      <c r="AE67"/>
    </row>
    <row r="68" spans="1:31">
      <c r="A68" s="87" t="s">
        <v>263</v>
      </c>
      <c r="B68" s="94" t="s">
        <v>264</v>
      </c>
      <c r="C68" s="97" t="s">
        <v>127</v>
      </c>
      <c r="D68" t="s">
        <v>265</v>
      </c>
      <c r="E68" t="s">
        <v>266</v>
      </c>
      <c r="F68" s="32" t="s">
        <v>32</v>
      </c>
      <c r="G68" s="32" t="s">
        <v>97</v>
      </c>
      <c r="H68" s="32" t="s">
        <v>111</v>
      </c>
      <c r="I68" s="32" t="s">
        <v>35</v>
      </c>
      <c r="J68" s="32">
        <v>12</v>
      </c>
      <c r="K68" s="71">
        <v>12622.65</v>
      </c>
      <c r="L68" s="61">
        <v>19.57</v>
      </c>
      <c r="M68" s="39">
        <v>645</v>
      </c>
      <c r="N68" s="39">
        <v>0</v>
      </c>
      <c r="O68" s="39">
        <v>0</v>
      </c>
      <c r="P68" s="40">
        <v>645</v>
      </c>
      <c r="Q68" s="67"/>
      <c r="R68" s="43">
        <v>2508</v>
      </c>
      <c r="S68" s="39"/>
      <c r="T68" s="39"/>
      <c r="U68" s="39">
        <v>2508</v>
      </c>
      <c r="V68" s="39"/>
      <c r="W68" s="45"/>
      <c r="X68" s="47">
        <v>867</v>
      </c>
      <c r="Y68" s="39">
        <v>867</v>
      </c>
      <c r="Z68" s="39">
        <v>867</v>
      </c>
    </row>
    <row r="69" spans="1:31">
      <c r="A69" s="87" t="s">
        <v>267</v>
      </c>
      <c r="B69" s="94" t="s">
        <v>268</v>
      </c>
      <c r="C69" s="97" t="s">
        <v>127</v>
      </c>
      <c r="D69" t="s">
        <v>269</v>
      </c>
      <c r="E69" t="s">
        <v>270</v>
      </c>
      <c r="F69" s="32" t="s">
        <v>32</v>
      </c>
      <c r="G69" s="32" t="s">
        <v>97</v>
      </c>
      <c r="H69" s="32" t="s">
        <v>111</v>
      </c>
      <c r="I69" s="32" t="s">
        <v>35</v>
      </c>
      <c r="J69" s="32">
        <v>10</v>
      </c>
      <c r="K69" s="71">
        <v>27454.32</v>
      </c>
      <c r="L69" s="61">
        <v>22.43</v>
      </c>
      <c r="M69" s="40">
        <v>1224</v>
      </c>
      <c r="N69" s="40">
        <v>2</v>
      </c>
      <c r="O69" s="40">
        <v>0</v>
      </c>
      <c r="P69" s="40">
        <v>1222</v>
      </c>
      <c r="Q69" s="67"/>
      <c r="R69" s="43">
        <v>4800</v>
      </c>
      <c r="S69" s="39"/>
      <c r="T69" s="39"/>
      <c r="U69" s="39">
        <v>4800</v>
      </c>
      <c r="V69" s="39"/>
      <c r="W69" s="45"/>
      <c r="X69" s="47">
        <v>1276</v>
      </c>
      <c r="Y69" s="39">
        <v>1276</v>
      </c>
      <c r="Z69" s="39">
        <v>1276</v>
      </c>
    </row>
    <row r="70" spans="1:31" s="101" customFormat="1">
      <c r="A70" s="87" t="s">
        <v>271</v>
      </c>
      <c r="B70" s="94" t="s">
        <v>272</v>
      </c>
      <c r="C70" s="97" t="s">
        <v>94</v>
      </c>
      <c r="D70" t="s">
        <v>273</v>
      </c>
      <c r="E70" t="s">
        <v>274</v>
      </c>
      <c r="F70" s="32" t="s">
        <v>32</v>
      </c>
      <c r="G70" s="32" t="s">
        <v>162</v>
      </c>
      <c r="H70" s="32" t="s">
        <v>98</v>
      </c>
      <c r="I70" s="32" t="s">
        <v>35</v>
      </c>
      <c r="J70" s="32">
        <v>80</v>
      </c>
      <c r="K70" s="71">
        <v>16722.84</v>
      </c>
      <c r="L70" s="61">
        <v>3.32</v>
      </c>
      <c r="M70" s="39">
        <v>5037</v>
      </c>
      <c r="N70" s="39">
        <v>2</v>
      </c>
      <c r="O70" s="39">
        <v>0</v>
      </c>
      <c r="P70" s="40">
        <v>5035</v>
      </c>
      <c r="Q70" s="67"/>
      <c r="R70" s="43">
        <v>5040</v>
      </c>
      <c r="S70" s="39"/>
      <c r="T70" s="39"/>
      <c r="U70" s="39">
        <v>5040</v>
      </c>
      <c r="V70" s="39"/>
      <c r="W70" s="45"/>
      <c r="X70" s="47">
        <v>3</v>
      </c>
      <c r="Y70" s="39">
        <v>3</v>
      </c>
      <c r="Z70" s="39">
        <v>3</v>
      </c>
      <c r="AA70"/>
      <c r="AB70"/>
      <c r="AC70"/>
      <c r="AD70"/>
      <c r="AE70"/>
    </row>
    <row r="71" spans="1:31">
      <c r="A71" s="87" t="s">
        <v>275</v>
      </c>
      <c r="B71" s="94" t="s">
        <v>276</v>
      </c>
      <c r="C71" s="97" t="s">
        <v>94</v>
      </c>
      <c r="D71" t="s">
        <v>277</v>
      </c>
      <c r="E71" s="113" t="s">
        <v>278</v>
      </c>
      <c r="F71" s="32" t="s">
        <v>32</v>
      </c>
      <c r="G71" s="32" t="s">
        <v>162</v>
      </c>
      <c r="H71" s="32" t="s">
        <v>98</v>
      </c>
      <c r="I71" s="32" t="s">
        <v>35</v>
      </c>
      <c r="J71" s="32">
        <v>80</v>
      </c>
      <c r="K71" s="71">
        <v>0</v>
      </c>
      <c r="L71" s="61">
        <v>3.9</v>
      </c>
      <c r="M71" s="39">
        <v>0</v>
      </c>
      <c r="N71" s="39">
        <v>0</v>
      </c>
      <c r="O71" s="39">
        <v>0</v>
      </c>
      <c r="P71" s="40">
        <v>0</v>
      </c>
      <c r="Q71" s="67"/>
      <c r="R71" s="43">
        <v>7040</v>
      </c>
      <c r="S71" s="39"/>
      <c r="T71" s="39"/>
      <c r="U71" s="39">
        <v>7040</v>
      </c>
      <c r="V71" s="39"/>
      <c r="W71" s="45"/>
      <c r="X71" s="47">
        <v>12000</v>
      </c>
      <c r="Y71" s="39">
        <v>12000</v>
      </c>
      <c r="Z71" s="39">
        <v>12000</v>
      </c>
    </row>
    <row r="72" spans="1:31">
      <c r="A72" s="89" t="s">
        <v>279</v>
      </c>
      <c r="B72" s="89" t="s">
        <v>280</v>
      </c>
      <c r="C72" t="s">
        <v>94</v>
      </c>
      <c r="D72" t="s">
        <v>281</v>
      </c>
      <c r="E72" t="s">
        <v>282</v>
      </c>
      <c r="F72" s="32" t="s">
        <v>32</v>
      </c>
      <c r="G72" s="32" t="s">
        <v>162</v>
      </c>
      <c r="H72" s="32" t="s">
        <v>163</v>
      </c>
      <c r="I72" s="32" t="s">
        <v>35</v>
      </c>
      <c r="J72" s="32">
        <v>8</v>
      </c>
      <c r="K72" s="71">
        <v>8652.6</v>
      </c>
      <c r="L72" s="61">
        <v>34.200000000000003</v>
      </c>
      <c r="M72" s="39">
        <v>253</v>
      </c>
      <c r="N72" s="39">
        <v>2</v>
      </c>
      <c r="O72" s="39">
        <v>0</v>
      </c>
      <c r="P72" s="40">
        <v>251</v>
      </c>
      <c r="Q72" s="67"/>
      <c r="R72" s="43">
        <v>1320</v>
      </c>
      <c r="S72" s="39"/>
      <c r="T72" s="39"/>
      <c r="U72" s="39">
        <v>1320</v>
      </c>
      <c r="V72" s="39"/>
      <c r="W72" s="45"/>
      <c r="X72" s="47">
        <v>2891</v>
      </c>
      <c r="Y72" s="39">
        <v>2891</v>
      </c>
      <c r="Z72" s="39">
        <v>2891</v>
      </c>
    </row>
    <row r="73" spans="1:31">
      <c r="A73" s="88" t="s">
        <v>283</v>
      </c>
      <c r="B73" s="88" t="s">
        <v>284</v>
      </c>
      <c r="C73" t="s">
        <v>178</v>
      </c>
      <c r="D73" s="113" t="s">
        <v>285</v>
      </c>
      <c r="E73" s="113" t="s">
        <v>286</v>
      </c>
      <c r="F73" s="32" t="s">
        <v>32</v>
      </c>
      <c r="G73" s="32" t="s">
        <v>84</v>
      </c>
      <c r="H73" s="32" t="s">
        <v>181</v>
      </c>
      <c r="I73" s="32" t="s">
        <v>35</v>
      </c>
      <c r="J73" s="32">
        <v>200</v>
      </c>
      <c r="K73" s="71">
        <v>22468</v>
      </c>
      <c r="L73" s="61">
        <v>1.37</v>
      </c>
      <c r="M73" s="39">
        <v>16400</v>
      </c>
      <c r="N73" s="39">
        <v>2</v>
      </c>
      <c r="O73" s="39">
        <v>0</v>
      </c>
      <c r="P73" s="40">
        <v>16398</v>
      </c>
      <c r="Q73" s="67"/>
      <c r="R73" s="43">
        <v>3600</v>
      </c>
      <c r="S73" s="39"/>
      <c r="T73" s="39">
        <v>3600</v>
      </c>
      <c r="U73" s="39"/>
      <c r="V73" s="39"/>
      <c r="W73" s="45"/>
      <c r="X73" s="47"/>
      <c r="Y73" s="39"/>
      <c r="Z73" s="39"/>
    </row>
    <row r="74" spans="1:31">
      <c r="A74" s="88" t="s">
        <v>287</v>
      </c>
      <c r="B74" s="88" t="s">
        <v>288</v>
      </c>
      <c r="C74" t="s">
        <v>289</v>
      </c>
      <c r="D74" s="113" t="s">
        <v>290</v>
      </c>
      <c r="E74" s="116" t="s">
        <v>291</v>
      </c>
      <c r="F74" s="32" t="s">
        <v>32</v>
      </c>
      <c r="G74" s="32" t="s">
        <v>84</v>
      </c>
      <c r="H74" s="32" t="s">
        <v>186</v>
      </c>
      <c r="I74" s="32" t="s">
        <v>35</v>
      </c>
      <c r="J74" s="32">
        <v>50</v>
      </c>
      <c r="K74" s="71">
        <v>17940</v>
      </c>
      <c r="L74" s="61">
        <v>2.99</v>
      </c>
      <c r="M74" s="39">
        <v>6000</v>
      </c>
      <c r="N74" s="39">
        <v>2</v>
      </c>
      <c r="O74" s="39">
        <v>0</v>
      </c>
      <c r="P74" s="40">
        <v>5998</v>
      </c>
      <c r="Q74" s="67"/>
      <c r="R74" s="43"/>
      <c r="S74" s="39"/>
      <c r="T74" s="39"/>
      <c r="U74" s="39"/>
      <c r="V74" s="39"/>
      <c r="W74" s="45"/>
      <c r="X74" s="47"/>
      <c r="Y74" s="39"/>
      <c r="Z74" s="39"/>
    </row>
    <row r="75" spans="1:31">
      <c r="A75" s="88" t="s">
        <v>292</v>
      </c>
      <c r="B75" s="88" t="s">
        <v>293</v>
      </c>
      <c r="C75" t="s">
        <v>81</v>
      </c>
      <c r="D75" s="113" t="s">
        <v>294</v>
      </c>
      <c r="E75" s="113" t="s">
        <v>295</v>
      </c>
      <c r="F75" s="32" t="s">
        <v>32</v>
      </c>
      <c r="G75" s="32" t="s">
        <v>84</v>
      </c>
      <c r="H75" s="32" t="s">
        <v>85</v>
      </c>
      <c r="I75" s="32" t="s">
        <v>35</v>
      </c>
      <c r="J75" s="32">
        <v>20</v>
      </c>
      <c r="K75" s="71">
        <v>83633.2</v>
      </c>
      <c r="L75" s="61">
        <v>8.33</v>
      </c>
      <c r="M75" s="39">
        <v>10040</v>
      </c>
      <c r="N75" s="39">
        <v>2</v>
      </c>
      <c r="O75" s="39">
        <v>0</v>
      </c>
      <c r="P75" s="40">
        <v>10038</v>
      </c>
      <c r="Q75" s="67"/>
      <c r="R75" s="43"/>
      <c r="S75" s="39"/>
      <c r="T75" s="39"/>
      <c r="U75" s="39"/>
      <c r="V75" s="39"/>
      <c r="W75" s="45"/>
      <c r="X75" s="47"/>
      <c r="Y75" s="39"/>
      <c r="Z75" s="39"/>
    </row>
    <row r="76" spans="1:31">
      <c r="A76" s="88" t="s">
        <v>296</v>
      </c>
      <c r="B76" s="88" t="s">
        <v>297</v>
      </c>
      <c r="C76" t="s">
        <v>298</v>
      </c>
      <c r="D76" s="113" t="s">
        <v>299</v>
      </c>
      <c r="E76" s="113" t="s">
        <v>300</v>
      </c>
      <c r="F76" s="32" t="s">
        <v>32</v>
      </c>
      <c r="G76" s="32" t="s">
        <v>301</v>
      </c>
      <c r="H76" s="32" t="s">
        <v>302</v>
      </c>
      <c r="I76" s="32" t="s">
        <v>35</v>
      </c>
      <c r="J76" s="32">
        <v>10</v>
      </c>
      <c r="K76" s="71"/>
      <c r="L76" s="61">
        <v>23.51</v>
      </c>
      <c r="M76" s="39">
        <v>0</v>
      </c>
      <c r="N76" s="39">
        <v>0</v>
      </c>
      <c r="O76" s="39">
        <v>0</v>
      </c>
      <c r="P76" s="40">
        <v>0</v>
      </c>
      <c r="Q76" s="67"/>
      <c r="R76" s="43">
        <v>500</v>
      </c>
      <c r="S76" s="39"/>
      <c r="T76" s="39">
        <v>500</v>
      </c>
      <c r="U76" s="39"/>
      <c r="V76" s="39"/>
      <c r="W76" s="45"/>
      <c r="X76" s="47"/>
      <c r="Y76" s="39"/>
      <c r="Z76" s="39"/>
    </row>
    <row r="77" spans="1:31">
      <c r="A77" s="89" t="s">
        <v>303</v>
      </c>
      <c r="B77" s="89" t="s">
        <v>304</v>
      </c>
      <c r="C77" t="s">
        <v>159</v>
      </c>
      <c r="D77" s="113" t="s">
        <v>305</v>
      </c>
      <c r="E77" t="s">
        <v>306</v>
      </c>
      <c r="F77" s="32" t="s">
        <v>32</v>
      </c>
      <c r="G77" s="32" t="s">
        <v>162</v>
      </c>
      <c r="H77" s="32" t="s">
        <v>163</v>
      </c>
      <c r="I77" s="32" t="s">
        <v>35</v>
      </c>
      <c r="J77" s="32">
        <v>8</v>
      </c>
      <c r="K77" s="71"/>
      <c r="L77" s="61">
        <v>32.47</v>
      </c>
      <c r="M77" s="39">
        <v>0</v>
      </c>
      <c r="N77" s="39">
        <v>0</v>
      </c>
      <c r="O77" s="39">
        <v>0</v>
      </c>
      <c r="P77" s="40">
        <v>0</v>
      </c>
      <c r="Q77" s="67"/>
      <c r="R77" s="43">
        <v>1400</v>
      </c>
      <c r="S77" s="39"/>
      <c r="T77" s="39"/>
      <c r="U77" s="39">
        <v>1400</v>
      </c>
      <c r="V77" s="39"/>
      <c r="W77" s="45"/>
      <c r="X77" s="47"/>
      <c r="Y77" s="39"/>
      <c r="Z77" s="39"/>
    </row>
    <row r="78" spans="1:31">
      <c r="A78" s="88" t="s">
        <v>307</v>
      </c>
      <c r="B78" s="88" t="s">
        <v>308</v>
      </c>
      <c r="C78" t="s">
        <v>94</v>
      </c>
      <c r="D78" t="s">
        <v>309</v>
      </c>
      <c r="E78" t="s">
        <v>310</v>
      </c>
      <c r="F78" s="32" t="s">
        <v>32</v>
      </c>
      <c r="G78" s="32" t="s">
        <v>97</v>
      </c>
      <c r="H78" s="32" t="s">
        <v>98</v>
      </c>
      <c r="I78" s="32" t="s">
        <v>35</v>
      </c>
      <c r="J78" s="32">
        <v>50</v>
      </c>
      <c r="K78" s="71">
        <v>5018</v>
      </c>
      <c r="L78" s="61">
        <v>3.86</v>
      </c>
      <c r="M78" s="39">
        <v>1300</v>
      </c>
      <c r="N78" s="39">
        <v>0</v>
      </c>
      <c r="O78" s="39">
        <v>0</v>
      </c>
      <c r="P78" s="40">
        <v>1300</v>
      </c>
      <c r="Q78" s="67"/>
      <c r="R78" s="43">
        <v>800</v>
      </c>
      <c r="S78" s="39">
        <v>400</v>
      </c>
      <c r="T78" s="39">
        <v>400</v>
      </c>
      <c r="U78" s="39"/>
      <c r="V78" s="39"/>
      <c r="W78" s="45"/>
      <c r="X78" s="47"/>
      <c r="Y78" s="39">
        <v>395</v>
      </c>
      <c r="Z78" s="39">
        <v>400</v>
      </c>
    </row>
    <row r="79" spans="1:31">
      <c r="A79" s="88" t="s">
        <v>311</v>
      </c>
      <c r="B79" s="88" t="s">
        <v>312</v>
      </c>
      <c r="C79" t="s">
        <v>94</v>
      </c>
      <c r="D79" t="s">
        <v>313</v>
      </c>
      <c r="E79" t="s">
        <v>314</v>
      </c>
      <c r="F79" s="32" t="s">
        <v>32</v>
      </c>
      <c r="G79" s="32" t="s">
        <v>97</v>
      </c>
      <c r="H79" s="32" t="s">
        <v>98</v>
      </c>
      <c r="I79" s="32" t="s">
        <v>35</v>
      </c>
      <c r="J79" s="32">
        <v>50</v>
      </c>
      <c r="K79" s="71">
        <v>5018</v>
      </c>
      <c r="L79" s="61">
        <v>3.86</v>
      </c>
      <c r="M79" s="39">
        <v>1300</v>
      </c>
      <c r="N79" s="39">
        <v>0</v>
      </c>
      <c r="O79" s="39">
        <v>0</v>
      </c>
      <c r="P79" s="40">
        <v>1300</v>
      </c>
      <c r="Q79" s="67"/>
      <c r="R79" s="43">
        <v>800</v>
      </c>
      <c r="S79" s="39">
        <v>400</v>
      </c>
      <c r="T79" s="39">
        <v>400</v>
      </c>
      <c r="U79" s="39"/>
      <c r="V79" s="39"/>
      <c r="W79" s="45"/>
      <c r="X79" s="47"/>
      <c r="Y79" s="39">
        <v>400</v>
      </c>
      <c r="Z79" s="39">
        <v>400</v>
      </c>
    </row>
    <row r="80" spans="1:31">
      <c r="A80" s="88" t="s">
        <v>315</v>
      </c>
      <c r="B80" s="88" t="s">
        <v>316</v>
      </c>
      <c r="C80" t="s">
        <v>94</v>
      </c>
      <c r="D80" t="s">
        <v>317</v>
      </c>
      <c r="E80" t="s">
        <v>318</v>
      </c>
      <c r="F80" s="32" t="s">
        <v>32</v>
      </c>
      <c r="G80" s="32" t="s">
        <v>97</v>
      </c>
      <c r="H80" s="32" t="s">
        <v>98</v>
      </c>
      <c r="I80" s="32" t="s">
        <v>35</v>
      </c>
      <c r="J80" s="32">
        <v>50</v>
      </c>
      <c r="K80" s="71">
        <v>12284</v>
      </c>
      <c r="L80" s="61">
        <v>3.32</v>
      </c>
      <c r="M80" s="39">
        <v>1550</v>
      </c>
      <c r="N80" s="39">
        <v>0</v>
      </c>
      <c r="O80" s="39">
        <v>0</v>
      </c>
      <c r="P80" s="40">
        <v>1550</v>
      </c>
      <c r="Q80" s="67"/>
      <c r="R80" s="43">
        <v>5000</v>
      </c>
      <c r="S80" s="39">
        <v>2000</v>
      </c>
      <c r="T80" s="39">
        <v>3000</v>
      </c>
      <c r="U80" s="39"/>
      <c r="V80" s="39"/>
      <c r="W80" s="45"/>
      <c r="X80" s="47">
        <v>2300</v>
      </c>
      <c r="Y80" s="39">
        <v>4300</v>
      </c>
      <c r="Z80" s="39">
        <v>7800</v>
      </c>
    </row>
    <row r="81" spans="1:31">
      <c r="A81" s="88" t="s">
        <v>319</v>
      </c>
      <c r="B81" s="88" t="s">
        <v>320</v>
      </c>
      <c r="C81" t="s">
        <v>94</v>
      </c>
      <c r="D81" t="s">
        <v>321</v>
      </c>
      <c r="E81" t="s">
        <v>322</v>
      </c>
      <c r="F81" s="32" t="s">
        <v>32</v>
      </c>
      <c r="G81" s="32" t="s">
        <v>97</v>
      </c>
      <c r="H81" s="32" t="s">
        <v>98</v>
      </c>
      <c r="I81" s="32" t="s">
        <v>35</v>
      </c>
      <c r="J81" s="32">
        <v>50</v>
      </c>
      <c r="K81" s="71">
        <v>9960</v>
      </c>
      <c r="L81" s="61">
        <v>3.32</v>
      </c>
      <c r="M81" s="39">
        <v>850</v>
      </c>
      <c r="N81" s="39">
        <v>0</v>
      </c>
      <c r="O81" s="39">
        <v>0</v>
      </c>
      <c r="P81" s="40">
        <v>850</v>
      </c>
      <c r="Q81" s="67"/>
      <c r="R81" s="43">
        <v>5000</v>
      </c>
      <c r="S81" s="39">
        <v>2000</v>
      </c>
      <c r="T81" s="39">
        <v>3000</v>
      </c>
      <c r="U81" s="39"/>
      <c r="V81" s="39"/>
      <c r="W81" s="45"/>
      <c r="X81" s="47">
        <v>3000</v>
      </c>
      <c r="Y81" s="39">
        <v>4995</v>
      </c>
      <c r="Z81" s="39">
        <v>8500</v>
      </c>
    </row>
    <row r="82" spans="1:31" s="101" customFormat="1">
      <c r="A82" s="88" t="s">
        <v>323</v>
      </c>
      <c r="B82" s="88" t="s">
        <v>324</v>
      </c>
      <c r="C82" t="s">
        <v>298</v>
      </c>
      <c r="D82" s="109"/>
      <c r="E82" s="70" t="s">
        <v>1</v>
      </c>
      <c r="F82" s="32" t="s">
        <v>32</v>
      </c>
      <c r="G82" s="32" t="s">
        <v>301</v>
      </c>
      <c r="H82" s="32" t="s">
        <v>325</v>
      </c>
      <c r="I82" s="32" t="s">
        <v>231</v>
      </c>
      <c r="J82" s="32">
        <v>500</v>
      </c>
      <c r="K82" s="71"/>
      <c r="L82" s="61"/>
      <c r="M82" s="39">
        <v>5000</v>
      </c>
      <c r="N82" s="39">
        <v>0</v>
      </c>
      <c r="O82" s="39">
        <v>0</v>
      </c>
      <c r="P82" s="40">
        <v>5000</v>
      </c>
      <c r="Q82" s="67"/>
      <c r="R82" s="43"/>
      <c r="S82" s="39"/>
      <c r="T82" s="39"/>
      <c r="U82" s="39"/>
      <c r="V82" s="39"/>
      <c r="W82" s="45"/>
      <c r="X82" s="47"/>
      <c r="Y82" s="39"/>
      <c r="Z82" s="39"/>
      <c r="AA82"/>
      <c r="AB82"/>
      <c r="AC82"/>
      <c r="AD82"/>
      <c r="AE82"/>
    </row>
    <row r="83" spans="1:31" s="101" customFormat="1">
      <c r="A83" s="88" t="s">
        <v>326</v>
      </c>
      <c r="B83" s="88" t="s">
        <v>327</v>
      </c>
      <c r="C83" t="s">
        <v>298</v>
      </c>
      <c r="D83" s="109"/>
      <c r="E83" s="115" t="s">
        <v>1</v>
      </c>
      <c r="F83" s="78" t="s">
        <v>32</v>
      </c>
      <c r="G83" s="78" t="s">
        <v>301</v>
      </c>
      <c r="H83" s="78" t="s">
        <v>302</v>
      </c>
      <c r="I83" s="78" t="s">
        <v>328</v>
      </c>
      <c r="J83" s="78"/>
      <c r="K83" s="79">
        <v>0</v>
      </c>
      <c r="L83" s="80">
        <v>0.37</v>
      </c>
      <c r="M83" s="81">
        <v>0</v>
      </c>
      <c r="N83" s="81">
        <v>0</v>
      </c>
      <c r="O83" s="81">
        <v>23900</v>
      </c>
      <c r="P83" s="82">
        <v>0</v>
      </c>
      <c r="Q83" s="83"/>
      <c r="R83" s="84">
        <v>201400</v>
      </c>
      <c r="S83" s="81">
        <v>151400</v>
      </c>
      <c r="T83" s="81"/>
      <c r="U83" s="81">
        <v>50000</v>
      </c>
      <c r="V83" s="81"/>
      <c r="W83" s="85">
        <v>48600</v>
      </c>
      <c r="X83" s="84">
        <v>100000</v>
      </c>
      <c r="Y83" s="81">
        <v>210000</v>
      </c>
      <c r="Z83" s="81">
        <v>300000</v>
      </c>
      <c r="AA83" s="86"/>
      <c r="AB83" s="86"/>
      <c r="AC83" s="86"/>
      <c r="AD83" s="86"/>
      <c r="AE83" s="86"/>
    </row>
    <row r="84" spans="1:31">
      <c r="A84" s="88" t="s">
        <v>329</v>
      </c>
      <c r="B84" s="88" t="s">
        <v>330</v>
      </c>
      <c r="C84" t="s">
        <v>147</v>
      </c>
      <c r="D84" t="s">
        <v>331</v>
      </c>
      <c r="E84" s="32" t="s">
        <v>332</v>
      </c>
      <c r="F84" s="32" t="s">
        <v>32</v>
      </c>
      <c r="G84" s="32" t="s">
        <v>84</v>
      </c>
      <c r="H84" s="32" t="s">
        <v>150</v>
      </c>
      <c r="I84" s="32" t="s">
        <v>231</v>
      </c>
      <c r="J84" s="32">
        <v>30</v>
      </c>
      <c r="K84" s="71">
        <v>18471.599999999999</v>
      </c>
      <c r="L84" s="61">
        <v>7.33</v>
      </c>
      <c r="M84" s="39">
        <v>2520</v>
      </c>
      <c r="N84" s="39">
        <v>0</v>
      </c>
      <c r="O84" s="39">
        <v>0</v>
      </c>
      <c r="P84" s="40">
        <v>2520</v>
      </c>
      <c r="Q84" s="67"/>
      <c r="R84" s="43"/>
      <c r="S84" s="39"/>
      <c r="T84" s="39"/>
      <c r="U84" s="39"/>
      <c r="V84" s="39"/>
      <c r="W84" s="45"/>
      <c r="X84" s="47"/>
      <c r="Y84" s="39"/>
      <c r="Z84" s="39">
        <v>690</v>
      </c>
    </row>
    <row r="85" spans="1:31">
      <c r="A85" s="88" t="s">
        <v>333</v>
      </c>
      <c r="B85" s="88" t="s">
        <v>334</v>
      </c>
      <c r="C85" t="s">
        <v>147</v>
      </c>
      <c r="D85" t="s">
        <v>335</v>
      </c>
      <c r="E85" s="113" t="s">
        <v>336</v>
      </c>
      <c r="F85" s="32" t="s">
        <v>32</v>
      </c>
      <c r="G85" s="32" t="s">
        <v>84</v>
      </c>
      <c r="H85" s="32" t="s">
        <v>150</v>
      </c>
      <c r="I85" s="32" t="s">
        <v>35</v>
      </c>
      <c r="J85" s="32">
        <v>50</v>
      </c>
      <c r="K85" s="71">
        <v>15480</v>
      </c>
      <c r="L85" s="61">
        <v>4.3</v>
      </c>
      <c r="M85" s="39">
        <v>3600</v>
      </c>
      <c r="N85" s="39">
        <v>0</v>
      </c>
      <c r="O85" s="39">
        <v>0</v>
      </c>
      <c r="P85" s="40">
        <v>3600</v>
      </c>
      <c r="Q85" s="67"/>
      <c r="R85" s="43"/>
      <c r="S85" s="39"/>
      <c r="T85" s="39"/>
      <c r="U85" s="39"/>
      <c r="V85" s="39"/>
      <c r="W85" s="45"/>
      <c r="X85" s="47"/>
      <c r="Y85" s="39"/>
      <c r="Z85" s="39">
        <v>750</v>
      </c>
    </row>
    <row r="86" spans="1:31" s="101" customFormat="1">
      <c r="A86" s="88" t="s">
        <v>337</v>
      </c>
      <c r="B86" s="88" t="s">
        <v>338</v>
      </c>
      <c r="C86" t="s">
        <v>245</v>
      </c>
      <c r="D86" s="113" t="s">
        <v>339</v>
      </c>
      <c r="E86" s="32" t="s">
        <v>340</v>
      </c>
      <c r="F86" s="32" t="s">
        <v>32</v>
      </c>
      <c r="G86" s="32" t="s">
        <v>248</v>
      </c>
      <c r="H86" s="32" t="s">
        <v>249</v>
      </c>
      <c r="I86" s="32" t="s">
        <v>35</v>
      </c>
      <c r="J86" s="32">
        <v>10</v>
      </c>
      <c r="K86" s="71">
        <v>8404.9500000000007</v>
      </c>
      <c r="L86" s="61">
        <v>20.55</v>
      </c>
      <c r="M86" s="39">
        <v>409</v>
      </c>
      <c r="N86" s="39">
        <v>0</v>
      </c>
      <c r="O86" s="39">
        <v>0</v>
      </c>
      <c r="P86" s="40">
        <v>409</v>
      </c>
      <c r="Q86" s="67"/>
      <c r="R86" s="43"/>
      <c r="S86" s="39"/>
      <c r="T86" s="39"/>
      <c r="U86" s="39"/>
      <c r="V86" s="39"/>
      <c r="W86" s="45"/>
      <c r="X86" s="47"/>
      <c r="Y86" s="39"/>
      <c r="Z86" s="39"/>
      <c r="AA86"/>
      <c r="AB86"/>
      <c r="AC86"/>
      <c r="AD86"/>
      <c r="AE86"/>
    </row>
    <row r="87" spans="1:31" s="101" customFormat="1">
      <c r="A87" s="88" t="s">
        <v>341</v>
      </c>
      <c r="B87" s="88" t="s">
        <v>342</v>
      </c>
      <c r="C87" t="s">
        <v>245</v>
      </c>
      <c r="D87" s="113" t="s">
        <v>343</v>
      </c>
      <c r="E87" s="32" t="s">
        <v>344</v>
      </c>
      <c r="F87" s="32" t="s">
        <v>32</v>
      </c>
      <c r="G87" s="32" t="s">
        <v>248</v>
      </c>
      <c r="H87" s="32" t="s">
        <v>249</v>
      </c>
      <c r="I87" s="32" t="s">
        <v>35</v>
      </c>
      <c r="J87" s="32">
        <v>10</v>
      </c>
      <c r="K87" s="71">
        <v>0</v>
      </c>
      <c r="L87" s="61">
        <v>20.55</v>
      </c>
      <c r="M87" s="39">
        <v>0</v>
      </c>
      <c r="N87" s="39">
        <v>0</v>
      </c>
      <c r="O87" s="39">
        <v>617</v>
      </c>
      <c r="P87" s="40">
        <v>0</v>
      </c>
      <c r="Q87" s="67"/>
      <c r="R87" s="43">
        <v>2300</v>
      </c>
      <c r="S87" s="39">
        <v>500</v>
      </c>
      <c r="T87" s="39">
        <v>1000</v>
      </c>
      <c r="U87" s="39"/>
      <c r="V87" s="39">
        <v>800</v>
      </c>
      <c r="W87" s="45"/>
      <c r="X87" s="47">
        <v>628</v>
      </c>
      <c r="Y87" s="39">
        <v>1979</v>
      </c>
      <c r="Z87" s="39">
        <v>2079</v>
      </c>
      <c r="AA87"/>
      <c r="AB87"/>
      <c r="AC87"/>
      <c r="AD87"/>
      <c r="AE87"/>
    </row>
    <row r="88" spans="1:31">
      <c r="A88" s="88" t="s">
        <v>345</v>
      </c>
      <c r="B88" s="88" t="s">
        <v>346</v>
      </c>
      <c r="C88" t="s">
        <v>153</v>
      </c>
      <c r="D88" s="113" t="s">
        <v>347</v>
      </c>
      <c r="E88" s="32" t="s">
        <v>348</v>
      </c>
      <c r="F88" s="32" t="s">
        <v>32</v>
      </c>
      <c r="G88" s="32" t="s">
        <v>84</v>
      </c>
      <c r="H88" s="32" t="s">
        <v>156</v>
      </c>
      <c r="I88" s="32" t="s">
        <v>231</v>
      </c>
      <c r="J88" s="32">
        <v>10</v>
      </c>
      <c r="K88" s="71">
        <v>6885</v>
      </c>
      <c r="L88" s="61">
        <v>13.77</v>
      </c>
      <c r="M88" s="39">
        <v>500</v>
      </c>
      <c r="N88" s="39">
        <v>0</v>
      </c>
      <c r="O88" s="39">
        <v>0</v>
      </c>
      <c r="P88" s="40">
        <v>500</v>
      </c>
      <c r="Q88" s="67"/>
      <c r="R88" s="43"/>
      <c r="S88" s="39"/>
      <c r="T88" s="39"/>
      <c r="U88" s="39"/>
      <c r="V88" s="39"/>
      <c r="W88" s="45"/>
      <c r="X88" s="47"/>
      <c r="Y88" s="39">
        <v>710</v>
      </c>
      <c r="Z88" s="39">
        <v>910</v>
      </c>
    </row>
    <row r="89" spans="1:31">
      <c r="A89" s="88" t="s">
        <v>349</v>
      </c>
      <c r="B89" s="88" t="s">
        <v>350</v>
      </c>
      <c r="C89" t="s">
        <v>81</v>
      </c>
      <c r="D89" s="113" t="s">
        <v>351</v>
      </c>
      <c r="E89" s="113" t="s">
        <v>352</v>
      </c>
      <c r="F89" s="32" t="s">
        <v>32</v>
      </c>
      <c r="G89" s="32" t="s">
        <v>84</v>
      </c>
      <c r="H89" s="32" t="s">
        <v>85</v>
      </c>
      <c r="I89" s="32" t="s">
        <v>35</v>
      </c>
      <c r="J89" s="32">
        <v>20</v>
      </c>
      <c r="K89" s="71">
        <v>58289.4</v>
      </c>
      <c r="L89" s="61">
        <v>7.05</v>
      </c>
      <c r="M89" s="39">
        <v>8268</v>
      </c>
      <c r="N89" s="39">
        <v>0</v>
      </c>
      <c r="O89" s="39">
        <v>0</v>
      </c>
      <c r="P89" s="40">
        <v>8268</v>
      </c>
      <c r="Q89" s="67"/>
      <c r="R89" s="43"/>
      <c r="S89" s="39"/>
      <c r="T89" s="39"/>
      <c r="U89" s="39"/>
      <c r="V89" s="39"/>
      <c r="W89" s="45"/>
      <c r="X89" s="47">
        <v>3800</v>
      </c>
      <c r="Y89" s="39">
        <v>7000</v>
      </c>
      <c r="Z89" s="39">
        <v>10740</v>
      </c>
    </row>
    <row r="90" spans="1:31">
      <c r="A90" s="88" t="s">
        <v>353</v>
      </c>
      <c r="B90" s="88" t="s">
        <v>354</v>
      </c>
      <c r="C90" t="s">
        <v>81</v>
      </c>
      <c r="D90" s="113" t="s">
        <v>355</v>
      </c>
      <c r="E90" s="32" t="s">
        <v>356</v>
      </c>
      <c r="F90" s="32" t="s">
        <v>32</v>
      </c>
      <c r="G90" s="32" t="s">
        <v>84</v>
      </c>
      <c r="H90" s="32" t="s">
        <v>85</v>
      </c>
      <c r="I90" s="32" t="s">
        <v>231</v>
      </c>
      <c r="J90" s="32">
        <v>20</v>
      </c>
      <c r="K90" s="71">
        <v>18858</v>
      </c>
      <c r="L90" s="61">
        <v>8.98</v>
      </c>
      <c r="M90" s="39">
        <v>2100</v>
      </c>
      <c r="N90" s="39">
        <v>0</v>
      </c>
      <c r="O90" s="39">
        <v>0</v>
      </c>
      <c r="P90" s="40">
        <v>2100</v>
      </c>
      <c r="Q90" s="67"/>
      <c r="R90" s="43"/>
      <c r="S90" s="39"/>
      <c r="T90" s="39"/>
      <c r="U90" s="39"/>
      <c r="V90" s="39"/>
      <c r="W90" s="45"/>
      <c r="X90" s="47">
        <v>400</v>
      </c>
      <c r="Y90" s="39">
        <v>2400</v>
      </c>
      <c r="Z90" s="39">
        <v>3000</v>
      </c>
    </row>
    <row r="91" spans="1:31">
      <c r="A91" s="88" t="s">
        <v>357</v>
      </c>
      <c r="B91" s="88" t="s">
        <v>358</v>
      </c>
      <c r="C91" t="s">
        <v>81</v>
      </c>
      <c r="D91" s="113" t="s">
        <v>359</v>
      </c>
      <c r="E91" s="113" t="s">
        <v>360</v>
      </c>
      <c r="F91" s="32" t="s">
        <v>32</v>
      </c>
      <c r="G91" s="32" t="s">
        <v>84</v>
      </c>
      <c r="H91" s="32" t="s">
        <v>85</v>
      </c>
      <c r="I91" s="32" t="s">
        <v>35</v>
      </c>
      <c r="J91" s="32">
        <v>20</v>
      </c>
      <c r="K91" s="71">
        <v>210552</v>
      </c>
      <c r="L91" s="61">
        <v>7.44</v>
      </c>
      <c r="M91" s="39">
        <v>28300</v>
      </c>
      <c r="N91" s="39">
        <v>0</v>
      </c>
      <c r="O91" s="39">
        <v>0</v>
      </c>
      <c r="P91" s="40">
        <v>28300</v>
      </c>
      <c r="Q91" s="67"/>
      <c r="R91" s="43">
        <v>31000</v>
      </c>
      <c r="S91" s="39">
        <v>14500</v>
      </c>
      <c r="T91" s="39">
        <v>6500</v>
      </c>
      <c r="U91" s="39"/>
      <c r="V91" s="39">
        <v>10000</v>
      </c>
      <c r="W91" s="45">
        <v>4500</v>
      </c>
      <c r="X91" s="47">
        <v>19480</v>
      </c>
      <c r="Y91" s="39">
        <v>46140</v>
      </c>
      <c r="Z91" s="39">
        <v>74391</v>
      </c>
    </row>
    <row r="92" spans="1:31">
      <c r="A92" s="88" t="s">
        <v>361</v>
      </c>
      <c r="B92" s="88" t="s">
        <v>362</v>
      </c>
      <c r="C92" t="s">
        <v>178</v>
      </c>
      <c r="D92" s="113" t="s">
        <v>285</v>
      </c>
      <c r="E92" s="113" t="s">
        <v>286</v>
      </c>
      <c r="F92" s="32" t="s">
        <v>32</v>
      </c>
      <c r="G92" s="32" t="s">
        <v>84</v>
      </c>
      <c r="H92" s="32" t="s">
        <v>181</v>
      </c>
      <c r="I92" s="32" t="s">
        <v>35</v>
      </c>
      <c r="J92" s="32">
        <v>250</v>
      </c>
      <c r="K92" s="71">
        <v>15753</v>
      </c>
      <c r="L92" s="61">
        <v>1.18</v>
      </c>
      <c r="M92" s="39">
        <v>13350</v>
      </c>
      <c r="N92" s="39">
        <v>0</v>
      </c>
      <c r="O92" s="39">
        <v>0</v>
      </c>
      <c r="P92" s="40">
        <v>13350</v>
      </c>
      <c r="Q92" s="67"/>
      <c r="R92" s="43">
        <v>4000</v>
      </c>
      <c r="S92" s="39">
        <v>4000</v>
      </c>
      <c r="T92" s="39"/>
      <c r="U92" s="39"/>
      <c r="V92" s="39"/>
      <c r="W92" s="45">
        <v>2500</v>
      </c>
      <c r="X92" s="47">
        <v>1500</v>
      </c>
      <c r="Y92" s="39">
        <v>7400</v>
      </c>
      <c r="Z92" s="39">
        <v>11150</v>
      </c>
    </row>
    <row r="93" spans="1:31">
      <c r="A93" s="88" t="s">
        <v>363</v>
      </c>
      <c r="B93" s="88" t="s">
        <v>364</v>
      </c>
      <c r="C93" t="s">
        <v>81</v>
      </c>
      <c r="D93" t="s">
        <v>365</v>
      </c>
      <c r="E93" s="70" t="s">
        <v>366</v>
      </c>
      <c r="F93" s="32" t="s">
        <v>32</v>
      </c>
      <c r="G93" s="32" t="s">
        <v>84</v>
      </c>
      <c r="H93" s="32" t="s">
        <v>186</v>
      </c>
      <c r="I93" s="32" t="s">
        <v>231</v>
      </c>
      <c r="J93" s="32">
        <v>50</v>
      </c>
      <c r="K93" s="71">
        <v>9850</v>
      </c>
      <c r="L93" s="61">
        <v>3.94</v>
      </c>
      <c r="M93" s="39">
        <v>2500</v>
      </c>
      <c r="N93" s="39">
        <v>0</v>
      </c>
      <c r="O93" s="39">
        <v>0</v>
      </c>
      <c r="P93" s="40">
        <v>2500</v>
      </c>
      <c r="Q93" s="67"/>
      <c r="R93" s="43"/>
      <c r="S93" s="39"/>
      <c r="T93" s="39"/>
      <c r="U93" s="39"/>
      <c r="V93" s="39"/>
      <c r="W93" s="45"/>
      <c r="X93" s="47">
        <v>500</v>
      </c>
      <c r="Y93" s="39">
        <v>500</v>
      </c>
      <c r="Z93" s="39">
        <v>1700</v>
      </c>
    </row>
    <row r="94" spans="1:31" s="101" customFormat="1">
      <c r="A94" s="88" t="s">
        <v>367</v>
      </c>
      <c r="B94" s="88" t="s">
        <v>368</v>
      </c>
      <c r="C94" t="s">
        <v>127</v>
      </c>
      <c r="D94" t="s">
        <v>369</v>
      </c>
      <c r="E94" t="s">
        <v>370</v>
      </c>
      <c r="F94" s="32" t="s">
        <v>32</v>
      </c>
      <c r="G94" s="32" t="s">
        <v>97</v>
      </c>
      <c r="H94" s="32" t="s">
        <v>111</v>
      </c>
      <c r="I94" s="32" t="s">
        <v>231</v>
      </c>
      <c r="J94" s="32">
        <v>15</v>
      </c>
      <c r="K94" s="71">
        <v>418.8</v>
      </c>
      <c r="L94" s="61">
        <v>13.96</v>
      </c>
      <c r="M94" s="39">
        <v>30</v>
      </c>
      <c r="N94" s="39">
        <v>0</v>
      </c>
      <c r="O94" s="39">
        <v>0</v>
      </c>
      <c r="P94" s="40">
        <v>30</v>
      </c>
      <c r="Q94" s="67"/>
      <c r="R94" s="43"/>
      <c r="S94" s="39"/>
      <c r="T94" s="39"/>
      <c r="U94" s="39"/>
      <c r="V94" s="39"/>
      <c r="W94" s="45"/>
      <c r="X94" s="47">
        <v>990</v>
      </c>
      <c r="Y94" s="39">
        <v>990</v>
      </c>
      <c r="Z94" s="39">
        <v>1215</v>
      </c>
      <c r="AA94"/>
      <c r="AB94"/>
      <c r="AC94"/>
      <c r="AD94"/>
      <c r="AE94"/>
    </row>
    <row r="95" spans="1:31" s="101" customFormat="1">
      <c r="A95" s="88" t="s">
        <v>371</v>
      </c>
      <c r="B95" s="88" t="s">
        <v>372</v>
      </c>
      <c r="C95" t="s">
        <v>159</v>
      </c>
      <c r="D95" s="95" t="s">
        <v>373</v>
      </c>
      <c r="E95" s="32" t="s">
        <v>374</v>
      </c>
      <c r="F95" s="32" t="s">
        <v>32</v>
      </c>
      <c r="G95" s="32" t="s">
        <v>97</v>
      </c>
      <c r="H95" s="32" t="s">
        <v>111</v>
      </c>
      <c r="I95" s="32" t="s">
        <v>35</v>
      </c>
      <c r="J95" s="32">
        <v>10</v>
      </c>
      <c r="K95" s="71">
        <v>3589.5</v>
      </c>
      <c r="L95" s="61">
        <v>23.93</v>
      </c>
      <c r="M95" s="39">
        <v>150</v>
      </c>
      <c r="N95" s="39">
        <v>0</v>
      </c>
      <c r="O95" s="39">
        <v>0</v>
      </c>
      <c r="P95" s="40">
        <v>150</v>
      </c>
      <c r="Q95" s="67"/>
      <c r="R95" s="43"/>
      <c r="S95" s="39"/>
      <c r="T95" s="39"/>
      <c r="U95" s="39"/>
      <c r="V95" s="39"/>
      <c r="W95" s="45"/>
      <c r="X95" s="47">
        <v>150</v>
      </c>
      <c r="Y95" s="39">
        <v>150</v>
      </c>
      <c r="Z95" s="39">
        <v>150</v>
      </c>
      <c r="AA95"/>
      <c r="AB95"/>
      <c r="AC95"/>
      <c r="AD95"/>
      <c r="AE95"/>
    </row>
    <row r="96" spans="1:31">
      <c r="A96" s="88" t="s">
        <v>375</v>
      </c>
      <c r="B96" s="88" t="s">
        <v>376</v>
      </c>
      <c r="C96" t="s">
        <v>29</v>
      </c>
      <c r="D96" s="111" t="s">
        <v>377</v>
      </c>
      <c r="E96" s="32" t="s">
        <v>378</v>
      </c>
      <c r="F96" s="32" t="s">
        <v>32</v>
      </c>
      <c r="G96" s="32" t="s">
        <v>33</v>
      </c>
      <c r="H96" s="32" t="s">
        <v>34</v>
      </c>
      <c r="I96" s="32" t="s">
        <v>35</v>
      </c>
      <c r="J96" s="32">
        <v>250</v>
      </c>
      <c r="K96" s="71">
        <v>5851.1100000000006</v>
      </c>
      <c r="L96" s="61">
        <v>0.67</v>
      </c>
      <c r="M96" s="39">
        <v>8733</v>
      </c>
      <c r="N96" s="39">
        <v>5000</v>
      </c>
      <c r="O96" s="39">
        <v>0</v>
      </c>
      <c r="P96" s="40">
        <v>3733</v>
      </c>
      <c r="Q96" s="67"/>
      <c r="R96" s="43">
        <v>20000</v>
      </c>
      <c r="S96" s="39"/>
      <c r="T96" s="39"/>
      <c r="U96" s="39"/>
      <c r="V96" s="39">
        <v>20000</v>
      </c>
      <c r="W96" s="45"/>
      <c r="X96" s="47">
        <v>57851</v>
      </c>
      <c r="Y96" s="39">
        <v>62601</v>
      </c>
      <c r="Z96" s="39">
        <v>95701</v>
      </c>
    </row>
    <row r="97" spans="1:31" s="101" customFormat="1">
      <c r="A97" s="88" t="s">
        <v>379</v>
      </c>
      <c r="B97" s="88" t="s">
        <v>380</v>
      </c>
      <c r="C97" t="s">
        <v>29</v>
      </c>
      <c r="D97" s="113" t="s">
        <v>381</v>
      </c>
      <c r="E97" s="32" t="s">
        <v>382</v>
      </c>
      <c r="F97" s="32" t="s">
        <v>32</v>
      </c>
      <c r="G97" s="32" t="s">
        <v>33</v>
      </c>
      <c r="H97" s="32" t="s">
        <v>34</v>
      </c>
      <c r="I97" s="32" t="s">
        <v>35</v>
      </c>
      <c r="J97" s="32">
        <v>200</v>
      </c>
      <c r="K97" s="71">
        <v>6816</v>
      </c>
      <c r="L97" s="61">
        <v>1.42</v>
      </c>
      <c r="M97" s="39">
        <v>4800</v>
      </c>
      <c r="N97" s="39">
        <v>0</v>
      </c>
      <c r="O97" s="39">
        <v>0</v>
      </c>
      <c r="P97" s="40">
        <v>4800</v>
      </c>
      <c r="Q97" s="67"/>
      <c r="R97" s="43">
        <v>5000</v>
      </c>
      <c r="S97" s="39">
        <v>5000</v>
      </c>
      <c r="T97" s="39"/>
      <c r="U97" s="39"/>
      <c r="V97" s="39"/>
      <c r="W97" s="45">
        <v>2000</v>
      </c>
      <c r="X97" s="47">
        <v>2000</v>
      </c>
      <c r="Y97" s="39">
        <v>13200</v>
      </c>
      <c r="Z97" s="39">
        <v>19200</v>
      </c>
      <c r="AA97"/>
      <c r="AB97"/>
      <c r="AC97"/>
      <c r="AD97"/>
      <c r="AE97"/>
    </row>
    <row r="98" spans="1:31" s="101" customFormat="1">
      <c r="A98" s="88" t="s">
        <v>383</v>
      </c>
      <c r="B98" s="88" t="s">
        <v>384</v>
      </c>
      <c r="C98" t="s">
        <v>127</v>
      </c>
      <c r="D98" t="s">
        <v>128</v>
      </c>
      <c r="E98" s="32" t="s">
        <v>129</v>
      </c>
      <c r="F98" s="32" t="s">
        <v>32</v>
      </c>
      <c r="G98" s="32" t="s">
        <v>97</v>
      </c>
      <c r="H98" s="32" t="s">
        <v>111</v>
      </c>
      <c r="I98" s="32" t="s">
        <v>35</v>
      </c>
      <c r="J98" s="32">
        <v>15</v>
      </c>
      <c r="K98" s="71">
        <v>157634.54999999999</v>
      </c>
      <c r="L98" s="61">
        <v>13.41</v>
      </c>
      <c r="M98" s="39">
        <v>11755</v>
      </c>
      <c r="N98" s="39">
        <v>0</v>
      </c>
      <c r="O98" s="39">
        <v>0</v>
      </c>
      <c r="P98" s="40">
        <v>11755</v>
      </c>
      <c r="Q98" s="67"/>
      <c r="R98" s="43">
        <v>11520</v>
      </c>
      <c r="S98" s="39">
        <v>6510</v>
      </c>
      <c r="T98" s="39">
        <v>5010</v>
      </c>
      <c r="U98" s="39"/>
      <c r="V98" s="39"/>
      <c r="W98" s="45">
        <v>600</v>
      </c>
      <c r="X98" s="47">
        <v>8355</v>
      </c>
      <c r="Y98" s="39">
        <v>12710</v>
      </c>
      <c r="Z98" s="39">
        <v>26280</v>
      </c>
      <c r="AA98"/>
      <c r="AB98"/>
      <c r="AC98"/>
      <c r="AD98"/>
      <c r="AE98"/>
    </row>
    <row r="99" spans="1:31" s="101" customFormat="1">
      <c r="A99" s="88" t="s">
        <v>385</v>
      </c>
      <c r="B99" s="88" t="s">
        <v>386</v>
      </c>
      <c r="C99" t="s">
        <v>127</v>
      </c>
      <c r="D99" t="s">
        <v>387</v>
      </c>
      <c r="E99" s="32" t="s">
        <v>388</v>
      </c>
      <c r="F99" s="32" t="s">
        <v>32</v>
      </c>
      <c r="G99" s="32" t="s">
        <v>97</v>
      </c>
      <c r="H99" s="32" t="s">
        <v>111</v>
      </c>
      <c r="I99" s="32" t="s">
        <v>231</v>
      </c>
      <c r="J99" s="32">
        <v>10</v>
      </c>
      <c r="K99" s="71">
        <v>53074.8</v>
      </c>
      <c r="L99" s="61">
        <v>25.64</v>
      </c>
      <c r="M99" s="39">
        <v>2070</v>
      </c>
      <c r="N99" s="39">
        <v>0</v>
      </c>
      <c r="O99" s="39">
        <v>0</v>
      </c>
      <c r="P99" s="40">
        <v>2070</v>
      </c>
      <c r="Q99" s="67"/>
      <c r="R99" s="43"/>
      <c r="S99" s="39"/>
      <c r="T99" s="39"/>
      <c r="U99" s="39"/>
      <c r="V99" s="39"/>
      <c r="W99" s="45"/>
      <c r="X99" s="47">
        <v>690</v>
      </c>
      <c r="Y99" s="39">
        <v>690</v>
      </c>
      <c r="Z99" s="39">
        <v>770</v>
      </c>
      <c r="AA99"/>
      <c r="AB99"/>
      <c r="AC99"/>
      <c r="AD99"/>
      <c r="AE99"/>
    </row>
    <row r="100" spans="1:31" s="101" customFormat="1">
      <c r="A100" s="88" t="s">
        <v>389</v>
      </c>
      <c r="B100" s="88" t="s">
        <v>390</v>
      </c>
      <c r="C100" t="s">
        <v>127</v>
      </c>
      <c r="D100" t="s">
        <v>391</v>
      </c>
      <c r="E100" s="32" t="s">
        <v>392</v>
      </c>
      <c r="F100" s="32" t="s">
        <v>32</v>
      </c>
      <c r="G100" s="32" t="s">
        <v>97</v>
      </c>
      <c r="H100" s="32" t="s">
        <v>111</v>
      </c>
      <c r="I100" s="32" t="s">
        <v>35</v>
      </c>
      <c r="J100" s="32">
        <v>20</v>
      </c>
      <c r="K100" s="71">
        <v>19475.2</v>
      </c>
      <c r="L100" s="61">
        <v>14.32</v>
      </c>
      <c r="M100" s="39">
        <v>1360</v>
      </c>
      <c r="N100" s="39">
        <v>0</v>
      </c>
      <c r="O100" s="39">
        <v>0</v>
      </c>
      <c r="P100" s="40">
        <v>1360</v>
      </c>
      <c r="Q100" s="67"/>
      <c r="R100" s="43"/>
      <c r="S100" s="39"/>
      <c r="T100" s="39"/>
      <c r="U100" s="39"/>
      <c r="V100" s="39"/>
      <c r="W100" s="45"/>
      <c r="X100" s="47"/>
      <c r="Y100" s="39">
        <v>200</v>
      </c>
      <c r="Z100" s="39">
        <v>300</v>
      </c>
      <c r="AA100"/>
      <c r="AB100"/>
      <c r="AC100"/>
      <c r="AD100"/>
      <c r="AE100"/>
    </row>
    <row r="101" spans="1:31">
      <c r="A101" s="88" t="s">
        <v>393</v>
      </c>
      <c r="B101" s="88" t="s">
        <v>394</v>
      </c>
      <c r="C101" t="s">
        <v>127</v>
      </c>
      <c r="D101" t="s">
        <v>395</v>
      </c>
      <c r="E101" s="32" t="s">
        <v>396</v>
      </c>
      <c r="F101" s="32" t="s">
        <v>32</v>
      </c>
      <c r="G101" s="32" t="s">
        <v>97</v>
      </c>
      <c r="H101" s="32" t="s">
        <v>111</v>
      </c>
      <c r="I101" s="32" t="s">
        <v>35</v>
      </c>
      <c r="J101" s="32">
        <v>15</v>
      </c>
      <c r="K101" s="71">
        <v>0</v>
      </c>
      <c r="L101" s="61">
        <v>19.309999999999999</v>
      </c>
      <c r="M101" s="39">
        <v>0</v>
      </c>
      <c r="N101" s="39">
        <v>0</v>
      </c>
      <c r="O101" s="39">
        <v>0</v>
      </c>
      <c r="P101" s="40">
        <v>0</v>
      </c>
      <c r="Q101" s="67"/>
      <c r="R101" s="43">
        <v>300</v>
      </c>
      <c r="S101" s="39"/>
      <c r="T101" s="39"/>
      <c r="U101" s="39"/>
      <c r="V101" s="39">
        <v>300</v>
      </c>
      <c r="W101" s="45"/>
      <c r="X101" s="47">
        <v>145</v>
      </c>
      <c r="Y101" s="39">
        <v>345</v>
      </c>
      <c r="Z101" s="39">
        <v>510</v>
      </c>
    </row>
    <row r="102" spans="1:31">
      <c r="A102" s="88" t="s">
        <v>397</v>
      </c>
      <c r="B102" s="88" t="s">
        <v>398</v>
      </c>
      <c r="C102" t="s">
        <v>127</v>
      </c>
      <c r="D102" t="s">
        <v>369</v>
      </c>
      <c r="E102" s="32" t="s">
        <v>370</v>
      </c>
      <c r="F102" s="32" t="s">
        <v>32</v>
      </c>
      <c r="G102" s="32" t="s">
        <v>97</v>
      </c>
      <c r="H102" s="32" t="s">
        <v>111</v>
      </c>
      <c r="I102" s="32" t="s">
        <v>231</v>
      </c>
      <c r="J102" s="32">
        <v>15</v>
      </c>
      <c r="K102" s="71">
        <v>17803.5</v>
      </c>
      <c r="L102" s="61">
        <v>18.260000000000002</v>
      </c>
      <c r="M102" s="39">
        <v>975</v>
      </c>
      <c r="N102" s="39">
        <v>0</v>
      </c>
      <c r="O102" s="39">
        <v>0</v>
      </c>
      <c r="P102" s="40">
        <v>975</v>
      </c>
      <c r="Q102" s="67"/>
      <c r="R102" s="43"/>
      <c r="S102" s="39"/>
      <c r="T102" s="39"/>
      <c r="U102" s="39"/>
      <c r="V102" s="39"/>
      <c r="W102" s="45"/>
      <c r="X102" s="47"/>
      <c r="Y102" s="39">
        <v>990</v>
      </c>
      <c r="Z102" s="39">
        <v>1500</v>
      </c>
    </row>
    <row r="103" spans="1:31">
      <c r="A103" s="88" t="s">
        <v>399</v>
      </c>
      <c r="B103" s="88" t="s">
        <v>400</v>
      </c>
      <c r="C103" t="s">
        <v>298</v>
      </c>
      <c r="D103" t="s">
        <v>401</v>
      </c>
      <c r="E103" t="s">
        <v>402</v>
      </c>
      <c r="F103" s="32" t="s">
        <v>32</v>
      </c>
      <c r="G103" s="32" t="s">
        <v>301</v>
      </c>
      <c r="H103" s="32" t="s">
        <v>403</v>
      </c>
      <c r="I103" s="32" t="s">
        <v>35</v>
      </c>
      <c r="J103" s="32">
        <v>4</v>
      </c>
      <c r="K103" s="71">
        <v>6677.49</v>
      </c>
      <c r="L103" s="61">
        <v>64.83</v>
      </c>
      <c r="M103" s="39">
        <v>103</v>
      </c>
      <c r="N103" s="39">
        <v>0</v>
      </c>
      <c r="O103" s="39">
        <v>0</v>
      </c>
      <c r="P103" s="40">
        <v>103</v>
      </c>
      <c r="Q103" s="67"/>
      <c r="R103" s="43"/>
      <c r="S103" s="39"/>
      <c r="T103" s="39"/>
      <c r="U103" s="39"/>
      <c r="V103" s="39"/>
      <c r="W103" s="45"/>
      <c r="X103" s="47"/>
      <c r="Y103" s="39">
        <v>20</v>
      </c>
      <c r="Z103" s="39">
        <v>108</v>
      </c>
    </row>
    <row r="104" spans="1:31">
      <c r="A104" s="88" t="s">
        <v>404</v>
      </c>
      <c r="B104" s="88" t="s">
        <v>405</v>
      </c>
      <c r="C104" t="s">
        <v>159</v>
      </c>
      <c r="D104" s="109" t="s">
        <v>406</v>
      </c>
      <c r="E104" s="32" t="s">
        <v>407</v>
      </c>
      <c r="F104" s="32" t="s">
        <v>32</v>
      </c>
      <c r="G104" s="32" t="s">
        <v>162</v>
      </c>
      <c r="H104" s="32" t="s">
        <v>163</v>
      </c>
      <c r="I104" s="32" t="s">
        <v>35</v>
      </c>
      <c r="J104" s="32">
        <v>10</v>
      </c>
      <c r="K104" s="71">
        <v>0</v>
      </c>
      <c r="L104" s="61">
        <v>22.07</v>
      </c>
      <c r="M104" s="39">
        <v>0</v>
      </c>
      <c r="N104" s="39">
        <v>0</v>
      </c>
      <c r="O104" s="39">
        <v>820</v>
      </c>
      <c r="P104" s="40">
        <v>0</v>
      </c>
      <c r="Q104" s="67"/>
      <c r="R104" s="43">
        <v>1700</v>
      </c>
      <c r="S104" s="39">
        <v>1400</v>
      </c>
      <c r="T104" s="39">
        <v>300</v>
      </c>
      <c r="U104" s="39"/>
      <c r="V104" s="39"/>
      <c r="W104" s="45">
        <v>0</v>
      </c>
      <c r="X104" s="47">
        <v>750</v>
      </c>
      <c r="Y104" s="39">
        <v>1190</v>
      </c>
      <c r="Z104" s="39">
        <v>1550</v>
      </c>
    </row>
    <row r="105" spans="1:31">
      <c r="A105" s="91" t="s">
        <v>408</v>
      </c>
      <c r="B105" s="91" t="s">
        <v>409</v>
      </c>
      <c r="C105" t="s">
        <v>410</v>
      </c>
      <c r="D105" t="s">
        <v>411</v>
      </c>
      <c r="E105" t="s">
        <v>412</v>
      </c>
      <c r="F105" s="32" t="s">
        <v>413</v>
      </c>
      <c r="G105" s="32" t="s">
        <v>248</v>
      </c>
      <c r="H105" s="32" t="s">
        <v>414</v>
      </c>
      <c r="I105" s="32" t="s">
        <v>35</v>
      </c>
      <c r="J105" s="32">
        <v>40</v>
      </c>
      <c r="K105" s="71"/>
      <c r="L105" s="61">
        <v>13.5</v>
      </c>
      <c r="M105" s="39"/>
      <c r="N105" s="39">
        <v>0</v>
      </c>
      <c r="O105" s="39">
        <v>120</v>
      </c>
      <c r="P105" s="40">
        <v>0</v>
      </c>
      <c r="Q105" s="67"/>
      <c r="R105" s="43">
        <v>520</v>
      </c>
      <c r="S105" s="39"/>
      <c r="T105" s="39"/>
      <c r="U105" s="39">
        <v>520</v>
      </c>
      <c r="V105" s="39"/>
      <c r="W105" s="45"/>
      <c r="X105" s="47"/>
      <c r="Y105" s="39"/>
      <c r="Z105" s="39"/>
    </row>
    <row r="106" spans="1:3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71"/>
      <c r="L106" s="61"/>
      <c r="M106" s="39"/>
      <c r="N106" s="39"/>
      <c r="O106" s="39"/>
      <c r="P106" s="40"/>
      <c r="Q106" s="67"/>
      <c r="R106" s="43"/>
      <c r="S106" s="39"/>
      <c r="T106" s="39"/>
      <c r="U106" s="39"/>
      <c r="V106" s="39"/>
      <c r="W106" s="45"/>
      <c r="X106" s="47"/>
      <c r="Y106" s="39"/>
      <c r="Z106" s="39"/>
    </row>
    <row r="107" spans="1:3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71"/>
      <c r="L107" s="61"/>
      <c r="M107" s="39"/>
      <c r="N107" s="39"/>
      <c r="O107" s="39"/>
      <c r="P107" s="40"/>
      <c r="Q107" s="67"/>
      <c r="R107" s="43"/>
      <c r="S107" s="39"/>
      <c r="T107" s="39"/>
      <c r="U107" s="39"/>
      <c r="V107" s="39"/>
      <c r="W107" s="45"/>
      <c r="X107" s="47"/>
      <c r="Y107" s="39"/>
      <c r="Z107" s="39"/>
    </row>
    <row r="108" spans="1:3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71"/>
      <c r="L108" s="61"/>
      <c r="M108" s="39"/>
      <c r="N108" s="39"/>
      <c r="O108" s="39"/>
      <c r="P108" s="40"/>
      <c r="Q108" s="67"/>
      <c r="R108" s="43"/>
      <c r="S108" s="39"/>
      <c r="T108" s="39"/>
      <c r="U108" s="39"/>
      <c r="V108" s="39"/>
      <c r="W108" s="45"/>
      <c r="X108" s="47"/>
      <c r="Y108" s="39"/>
      <c r="Z108" s="39"/>
    </row>
    <row r="109" spans="1:3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71"/>
      <c r="L109" s="61"/>
      <c r="M109" s="39"/>
      <c r="N109" s="39"/>
      <c r="O109" s="39"/>
      <c r="P109" s="40"/>
      <c r="Q109" s="67"/>
      <c r="R109" s="43"/>
      <c r="S109" s="39"/>
      <c r="T109" s="39"/>
      <c r="U109" s="39"/>
      <c r="V109" s="39"/>
      <c r="W109" s="45"/>
      <c r="X109" s="47"/>
      <c r="Y109" s="39"/>
      <c r="Z109" s="39"/>
    </row>
    <row r="110" spans="1:3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71"/>
      <c r="L110" s="61"/>
      <c r="M110" s="39"/>
      <c r="N110" s="39"/>
      <c r="O110" s="39"/>
      <c r="P110" s="40"/>
      <c r="Q110" s="67"/>
      <c r="R110" s="43"/>
      <c r="S110" s="39"/>
      <c r="T110" s="39"/>
      <c r="U110" s="39"/>
      <c r="V110" s="39"/>
      <c r="W110" s="45"/>
      <c r="X110" s="47"/>
      <c r="Y110" s="39"/>
      <c r="Z110" s="39"/>
    </row>
    <row r="111" spans="1:3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71"/>
      <c r="L111" s="61"/>
      <c r="M111" s="39"/>
      <c r="N111" s="39"/>
      <c r="O111" s="39"/>
      <c r="P111" s="40"/>
      <c r="Q111" s="67"/>
      <c r="R111" s="43"/>
      <c r="S111" s="39"/>
      <c r="T111" s="39"/>
      <c r="U111" s="39"/>
      <c r="V111" s="39"/>
      <c r="W111" s="45"/>
      <c r="X111" s="47"/>
      <c r="Y111" s="39"/>
      <c r="Z111" s="39"/>
    </row>
    <row r="112" spans="1:3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71"/>
      <c r="L112" s="61"/>
      <c r="M112" s="39"/>
      <c r="N112" s="39"/>
      <c r="O112" s="39"/>
      <c r="P112" s="40"/>
      <c r="Q112" s="67"/>
      <c r="R112" s="43"/>
      <c r="S112" s="39"/>
      <c r="T112" s="39"/>
      <c r="U112" s="39"/>
      <c r="V112" s="39"/>
      <c r="W112" s="45"/>
      <c r="X112" s="47"/>
      <c r="Y112" s="39"/>
      <c r="Z112" s="39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71"/>
      <c r="L113" s="61"/>
      <c r="M113" s="39"/>
      <c r="N113" s="39"/>
      <c r="O113" s="39"/>
      <c r="P113" s="40"/>
      <c r="Q113" s="67"/>
      <c r="R113" s="43"/>
      <c r="S113" s="39"/>
      <c r="T113" s="39"/>
      <c r="U113" s="39"/>
      <c r="V113" s="39"/>
      <c r="W113" s="45"/>
      <c r="X113" s="47"/>
      <c r="Y113" s="39"/>
      <c r="Z113" s="39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71"/>
      <c r="L114" s="61"/>
      <c r="M114" s="39"/>
      <c r="N114" s="39"/>
      <c r="O114" s="39"/>
      <c r="P114" s="40"/>
      <c r="Q114" s="67"/>
      <c r="R114" s="43"/>
      <c r="S114" s="39"/>
      <c r="T114" s="39"/>
      <c r="U114" s="39"/>
      <c r="V114" s="39"/>
      <c r="W114" s="45"/>
      <c r="X114" s="47"/>
      <c r="Y114" s="39"/>
      <c r="Z114" s="39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71"/>
      <c r="L115" s="61"/>
      <c r="M115" s="39"/>
      <c r="N115" s="39"/>
      <c r="O115" s="39"/>
      <c r="P115" s="40"/>
      <c r="Q115" s="67"/>
      <c r="R115" s="43"/>
      <c r="S115" s="39"/>
      <c r="T115" s="39"/>
      <c r="U115" s="39"/>
      <c r="V115" s="39"/>
      <c r="W115" s="45"/>
      <c r="X115" s="47"/>
      <c r="Y115" s="39"/>
      <c r="Z115" s="39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71"/>
      <c r="L116" s="61"/>
      <c r="M116" s="39"/>
      <c r="N116" s="39"/>
      <c r="O116" s="39"/>
      <c r="P116" s="40"/>
      <c r="Q116" s="67"/>
      <c r="R116" s="43"/>
      <c r="S116" s="39"/>
      <c r="T116" s="39"/>
      <c r="U116" s="39"/>
      <c r="V116" s="39"/>
      <c r="W116" s="45"/>
      <c r="X116" s="47"/>
      <c r="Y116" s="39"/>
      <c r="Z116" s="39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71"/>
      <c r="L117" s="61"/>
      <c r="M117" s="39"/>
      <c r="N117" s="39"/>
      <c r="O117" s="39"/>
      <c r="P117" s="40"/>
      <c r="Q117" s="67"/>
      <c r="R117" s="43"/>
      <c r="S117" s="39"/>
      <c r="T117" s="39"/>
      <c r="U117" s="39"/>
      <c r="V117" s="39"/>
      <c r="W117" s="45"/>
      <c r="X117" s="47"/>
      <c r="Y117" s="39"/>
      <c r="Z117" s="39"/>
    </row>
    <row r="118" spans="1:2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72"/>
      <c r="L118" s="60"/>
      <c r="M118" s="37"/>
      <c r="N118" s="37"/>
      <c r="O118" s="37"/>
      <c r="P118" s="38"/>
      <c r="Q118" s="68"/>
      <c r="R118" s="42"/>
      <c r="S118" s="37"/>
      <c r="T118" s="37"/>
      <c r="U118" s="37"/>
      <c r="V118" s="37"/>
      <c r="W118" s="45"/>
      <c r="X118" s="47"/>
      <c r="Y118" s="39"/>
      <c r="Z118" s="39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71"/>
      <c r="L119" s="61"/>
      <c r="M119" s="39"/>
      <c r="N119" s="39"/>
      <c r="O119" s="39"/>
      <c r="P119" s="40"/>
      <c r="Q119" s="67"/>
      <c r="R119" s="43"/>
      <c r="S119" s="39"/>
      <c r="T119" s="39"/>
      <c r="U119" s="39"/>
      <c r="V119" s="39"/>
      <c r="W119" s="45"/>
      <c r="X119" s="47"/>
      <c r="Y119" s="39"/>
      <c r="Z119" s="39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71"/>
      <c r="L120" s="61"/>
      <c r="M120" s="39"/>
      <c r="N120" s="39"/>
      <c r="O120" s="39"/>
      <c r="P120" s="40"/>
      <c r="Q120" s="67"/>
      <c r="R120" s="43"/>
      <c r="S120" s="39"/>
      <c r="T120" s="39"/>
      <c r="U120" s="39"/>
      <c r="V120" s="39"/>
      <c r="W120" s="45"/>
      <c r="X120" s="47"/>
      <c r="Y120" s="39"/>
      <c r="Z120" s="39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71"/>
      <c r="L121" s="61"/>
      <c r="M121" s="39"/>
      <c r="N121" s="39"/>
      <c r="O121" s="39"/>
      <c r="P121" s="40"/>
      <c r="Q121" s="67"/>
      <c r="R121" s="43"/>
      <c r="S121" s="39"/>
      <c r="T121" s="39"/>
      <c r="U121" s="39"/>
      <c r="V121" s="39"/>
      <c r="W121" s="45"/>
      <c r="X121" s="47"/>
      <c r="Y121" s="39"/>
      <c r="Z121" s="39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71"/>
      <c r="L122" s="61"/>
      <c r="M122" s="39"/>
      <c r="N122" s="39"/>
      <c r="O122" s="39"/>
      <c r="P122" s="40"/>
      <c r="Q122" s="67"/>
      <c r="R122" s="43"/>
      <c r="S122" s="39"/>
      <c r="T122" s="39"/>
      <c r="U122" s="39"/>
      <c r="V122" s="39"/>
      <c r="W122" s="45"/>
      <c r="X122" s="47"/>
      <c r="Y122" s="39"/>
      <c r="Z122" s="39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71"/>
      <c r="L123" s="61"/>
      <c r="M123" s="39"/>
      <c r="N123" s="39"/>
      <c r="O123" s="39"/>
      <c r="P123" s="40"/>
      <c r="Q123" s="67"/>
      <c r="R123" s="43"/>
      <c r="S123" s="39"/>
      <c r="T123" s="39"/>
      <c r="U123" s="39"/>
      <c r="V123" s="39"/>
      <c r="W123" s="45"/>
      <c r="X123" s="47"/>
      <c r="Y123" s="39"/>
      <c r="Z123" s="39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71"/>
      <c r="L124" s="61"/>
      <c r="M124" s="39"/>
      <c r="N124" s="39"/>
      <c r="O124" s="39"/>
      <c r="P124" s="40"/>
      <c r="Q124" s="67"/>
      <c r="R124" s="43"/>
      <c r="S124" s="39"/>
      <c r="T124" s="39"/>
      <c r="U124" s="39"/>
      <c r="V124" s="39"/>
      <c r="W124" s="45"/>
      <c r="X124" s="47"/>
      <c r="Y124" s="39"/>
      <c r="Z124" s="39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71"/>
      <c r="L125" s="61"/>
      <c r="M125" s="39"/>
      <c r="N125" s="39"/>
      <c r="O125" s="39"/>
      <c r="P125" s="40"/>
      <c r="Q125" s="67"/>
      <c r="R125" s="43"/>
      <c r="S125" s="39"/>
      <c r="T125" s="39"/>
      <c r="U125" s="39"/>
      <c r="V125" s="39"/>
      <c r="W125" s="45"/>
      <c r="X125" s="47"/>
      <c r="Y125" s="39"/>
      <c r="Z125" s="39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71"/>
      <c r="L126" s="61"/>
      <c r="M126" s="39"/>
      <c r="N126" s="39"/>
      <c r="O126" s="39"/>
      <c r="P126" s="40"/>
      <c r="Q126" s="67"/>
      <c r="R126" s="43"/>
      <c r="S126" s="39"/>
      <c r="T126" s="39"/>
      <c r="U126" s="39"/>
      <c r="V126" s="39"/>
      <c r="W126" s="45"/>
      <c r="X126" s="47"/>
      <c r="Y126" s="39"/>
      <c r="Z126" s="39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71"/>
      <c r="L127" s="61"/>
      <c r="M127" s="39"/>
      <c r="N127" s="39"/>
      <c r="O127" s="39"/>
      <c r="P127" s="40"/>
      <c r="Q127" s="67"/>
      <c r="R127" s="43"/>
      <c r="S127" s="39"/>
      <c r="T127" s="39"/>
      <c r="U127" s="39"/>
      <c r="V127" s="39"/>
      <c r="W127" s="45"/>
      <c r="X127" s="47"/>
      <c r="Y127" s="39"/>
      <c r="Z127" s="39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71"/>
      <c r="L128" s="61"/>
      <c r="M128" s="39"/>
      <c r="N128" s="39"/>
      <c r="O128" s="39"/>
      <c r="P128" s="40"/>
      <c r="Q128" s="67"/>
      <c r="R128" s="43"/>
      <c r="S128" s="39"/>
      <c r="T128" s="39"/>
      <c r="U128" s="39"/>
      <c r="V128" s="39"/>
      <c r="W128" s="45"/>
      <c r="X128" s="47"/>
      <c r="Y128" s="39"/>
      <c r="Z128" s="39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71"/>
      <c r="L129" s="61"/>
      <c r="M129" s="39"/>
      <c r="N129" s="39"/>
      <c r="O129" s="39"/>
      <c r="P129" s="40"/>
      <c r="Q129" s="67"/>
      <c r="R129" s="43"/>
      <c r="S129" s="39"/>
      <c r="T129" s="39"/>
      <c r="U129" s="39"/>
      <c r="V129" s="39"/>
      <c r="W129" s="45"/>
      <c r="X129" s="47"/>
      <c r="Y129" s="39"/>
      <c r="Z129" s="39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71"/>
      <c r="L130" s="61"/>
      <c r="M130" s="39"/>
      <c r="N130" s="39"/>
      <c r="O130" s="39"/>
      <c r="P130" s="40"/>
      <c r="Q130" s="67"/>
      <c r="R130" s="43"/>
      <c r="S130" s="39"/>
      <c r="T130" s="39"/>
      <c r="U130" s="39"/>
      <c r="V130" s="39"/>
      <c r="W130" s="45"/>
      <c r="X130" s="47"/>
      <c r="Y130" s="39"/>
      <c r="Z130" s="39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71"/>
      <c r="L131" s="61"/>
      <c r="M131" s="39"/>
      <c r="N131" s="39"/>
      <c r="O131" s="39"/>
      <c r="P131" s="40"/>
      <c r="Q131" s="67"/>
      <c r="R131" s="43"/>
      <c r="S131" s="39"/>
      <c r="T131" s="39"/>
      <c r="U131" s="39"/>
      <c r="V131" s="39"/>
      <c r="W131" s="45"/>
      <c r="X131" s="47"/>
      <c r="Y131" s="39"/>
      <c r="Z131" s="39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71"/>
      <c r="L132" s="61"/>
      <c r="M132" s="39"/>
      <c r="N132" s="39"/>
      <c r="O132" s="39"/>
      <c r="P132" s="40"/>
      <c r="Q132" s="67"/>
      <c r="R132" s="43"/>
      <c r="S132" s="39"/>
      <c r="T132" s="39"/>
      <c r="U132" s="39"/>
      <c r="V132" s="39"/>
      <c r="W132" s="45"/>
      <c r="X132" s="47"/>
      <c r="Y132" s="39"/>
      <c r="Z132" s="39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71"/>
      <c r="L133" s="61"/>
      <c r="M133" s="39"/>
      <c r="N133" s="39"/>
      <c r="O133" s="39"/>
      <c r="P133" s="40"/>
      <c r="Q133" s="67"/>
      <c r="R133" s="43"/>
      <c r="S133" s="39"/>
      <c r="T133" s="39"/>
      <c r="U133" s="39"/>
      <c r="V133" s="39"/>
      <c r="W133" s="45"/>
      <c r="X133" s="47"/>
      <c r="Y133" s="39"/>
      <c r="Z133" s="39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71"/>
      <c r="L134" s="61"/>
      <c r="M134" s="39"/>
      <c r="N134" s="39"/>
      <c r="O134" s="39"/>
      <c r="P134" s="40"/>
      <c r="Q134" s="67"/>
      <c r="R134" s="43"/>
      <c r="S134" s="39"/>
      <c r="T134" s="39"/>
      <c r="U134" s="39"/>
      <c r="V134" s="39"/>
      <c r="W134" s="45"/>
      <c r="X134" s="47"/>
      <c r="Y134" s="39"/>
      <c r="Z134" s="39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71"/>
      <c r="L135" s="61"/>
      <c r="M135" s="39"/>
      <c r="N135" s="39"/>
      <c r="O135" s="39"/>
      <c r="P135" s="40"/>
      <c r="Q135" s="67"/>
      <c r="R135" s="43"/>
      <c r="S135" s="39"/>
      <c r="T135" s="39"/>
      <c r="U135" s="39"/>
      <c r="V135" s="39"/>
      <c r="W135" s="45"/>
      <c r="X135" s="47"/>
      <c r="Y135" s="39"/>
      <c r="Z135" s="39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71"/>
      <c r="L136" s="61"/>
      <c r="M136" s="39"/>
      <c r="N136" s="39"/>
      <c r="O136" s="39"/>
      <c r="P136" s="40"/>
      <c r="Q136" s="67"/>
      <c r="R136" s="43"/>
      <c r="S136" s="39"/>
      <c r="T136" s="39"/>
      <c r="U136" s="39"/>
      <c r="V136" s="39"/>
      <c r="W136" s="45"/>
      <c r="X136" s="47"/>
      <c r="Y136" s="39"/>
      <c r="Z136" s="39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71"/>
      <c r="L137" s="61"/>
      <c r="M137" s="39"/>
      <c r="N137" s="39"/>
      <c r="O137" s="39"/>
      <c r="P137" s="40"/>
      <c r="Q137" s="67"/>
      <c r="R137" s="43"/>
      <c r="S137" s="39"/>
      <c r="T137" s="39"/>
      <c r="U137" s="39"/>
      <c r="V137" s="39"/>
      <c r="W137" s="45"/>
      <c r="X137" s="47"/>
      <c r="Y137" s="39"/>
      <c r="Z137" s="39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71"/>
      <c r="L138" s="61"/>
      <c r="M138" s="39"/>
      <c r="N138" s="39"/>
      <c r="O138" s="39"/>
      <c r="P138" s="40"/>
      <c r="Q138" s="67"/>
      <c r="R138" s="43"/>
      <c r="S138" s="39"/>
      <c r="T138" s="39"/>
      <c r="U138" s="39"/>
      <c r="V138" s="39"/>
      <c r="W138" s="45"/>
      <c r="X138" s="47"/>
      <c r="Y138" s="39"/>
      <c r="Z138" s="39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71"/>
      <c r="L139" s="61"/>
      <c r="M139" s="39"/>
      <c r="N139" s="39"/>
      <c r="O139" s="39"/>
      <c r="P139" s="40"/>
      <c r="Q139" s="67"/>
      <c r="R139" s="43"/>
      <c r="S139" s="39"/>
      <c r="T139" s="39"/>
      <c r="U139" s="39"/>
      <c r="V139" s="39"/>
      <c r="W139" s="45"/>
      <c r="X139" s="47"/>
      <c r="Y139" s="39"/>
      <c r="Z139" s="39"/>
    </row>
    <row r="140" spans="1:26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72"/>
      <c r="L140" s="60"/>
      <c r="M140" s="37"/>
      <c r="N140" s="37"/>
      <c r="O140" s="37"/>
      <c r="P140" s="38"/>
      <c r="Q140" s="68"/>
      <c r="R140" s="42"/>
      <c r="S140" s="37"/>
      <c r="T140" s="37"/>
      <c r="U140" s="37"/>
      <c r="V140" s="37"/>
      <c r="W140" s="45"/>
      <c r="X140" s="47"/>
      <c r="Y140" s="39"/>
      <c r="Z140" s="39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71"/>
      <c r="L141" s="61"/>
      <c r="M141" s="39"/>
      <c r="N141" s="39"/>
      <c r="O141" s="39"/>
      <c r="P141" s="40"/>
      <c r="Q141" s="67"/>
      <c r="R141" s="43"/>
      <c r="S141" s="39"/>
      <c r="T141" s="39"/>
      <c r="U141" s="39"/>
      <c r="V141" s="39"/>
      <c r="W141" s="45"/>
      <c r="X141" s="47"/>
      <c r="Y141" s="39"/>
      <c r="Z141" s="39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71"/>
      <c r="L142" s="61"/>
      <c r="M142" s="39"/>
      <c r="N142" s="39"/>
      <c r="O142" s="39"/>
      <c r="P142" s="40"/>
      <c r="Q142" s="67"/>
      <c r="R142" s="43"/>
      <c r="S142" s="39"/>
      <c r="T142" s="39"/>
      <c r="U142" s="39"/>
      <c r="V142" s="39"/>
      <c r="W142" s="45"/>
      <c r="X142" s="47"/>
      <c r="Y142" s="39"/>
      <c r="Z142" s="39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71"/>
      <c r="L143" s="61"/>
      <c r="M143" s="39"/>
      <c r="N143" s="39"/>
      <c r="O143" s="39"/>
      <c r="P143" s="40"/>
      <c r="Q143" s="67"/>
      <c r="R143" s="43"/>
      <c r="S143" s="39"/>
      <c r="T143" s="39"/>
      <c r="U143" s="39"/>
      <c r="V143" s="39"/>
      <c r="W143" s="45"/>
      <c r="X143" s="47"/>
      <c r="Y143" s="39"/>
      <c r="Z143" s="39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71"/>
      <c r="L144" s="61"/>
      <c r="M144" s="39"/>
      <c r="N144" s="39"/>
      <c r="O144" s="39"/>
      <c r="P144" s="40"/>
      <c r="Q144" s="67"/>
      <c r="R144" s="43"/>
      <c r="S144" s="39"/>
      <c r="T144" s="39"/>
      <c r="U144" s="39"/>
      <c r="V144" s="39"/>
      <c r="W144" s="45"/>
      <c r="X144" s="47"/>
      <c r="Y144" s="39"/>
      <c r="Z144" s="39"/>
    </row>
    <row r="145" spans="1:3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71"/>
      <c r="L145" s="61"/>
      <c r="M145" s="39"/>
      <c r="N145" s="39"/>
      <c r="O145" s="39"/>
      <c r="P145" s="40"/>
      <c r="Q145" s="67"/>
      <c r="R145" s="43"/>
      <c r="S145" s="39"/>
      <c r="T145" s="39"/>
      <c r="U145" s="39"/>
      <c r="V145" s="39"/>
      <c r="W145" s="45"/>
      <c r="X145" s="47"/>
      <c r="Y145" s="39"/>
      <c r="Z145" s="39"/>
    </row>
    <row r="146" spans="1:3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71"/>
      <c r="L146" s="61"/>
      <c r="M146" s="39"/>
      <c r="N146" s="39"/>
      <c r="O146" s="39"/>
      <c r="P146" s="40"/>
      <c r="Q146" s="67"/>
      <c r="R146" s="43"/>
      <c r="S146" s="39"/>
      <c r="T146" s="39"/>
      <c r="U146" s="39"/>
      <c r="V146" s="39"/>
      <c r="W146" s="45"/>
      <c r="X146" s="47"/>
      <c r="Y146" s="39"/>
      <c r="Z146" s="39"/>
    </row>
    <row r="147" spans="1:3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71"/>
      <c r="L147" s="61"/>
      <c r="M147" s="39"/>
      <c r="N147" s="39"/>
      <c r="O147" s="39"/>
      <c r="P147" s="40"/>
      <c r="Q147" s="67"/>
      <c r="R147" s="43"/>
      <c r="S147" s="39"/>
      <c r="T147" s="39"/>
      <c r="U147" s="39"/>
      <c r="V147" s="39"/>
      <c r="W147" s="45"/>
      <c r="X147" s="47"/>
      <c r="Y147" s="39"/>
      <c r="Z147" s="39"/>
    </row>
    <row r="148" spans="1:3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71"/>
      <c r="L148" s="61"/>
      <c r="M148" s="39"/>
      <c r="N148" s="39"/>
      <c r="O148" s="39"/>
      <c r="P148" s="40"/>
      <c r="Q148" s="67"/>
      <c r="R148" s="43"/>
      <c r="S148" s="39"/>
      <c r="T148" s="39"/>
      <c r="U148" s="39"/>
      <c r="V148" s="39"/>
      <c r="W148" s="45"/>
      <c r="X148" s="47"/>
      <c r="Y148" s="39"/>
      <c r="Z148" s="39"/>
    </row>
    <row r="149" spans="1:3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71"/>
      <c r="L149" s="61"/>
      <c r="M149" s="39"/>
      <c r="N149" s="39"/>
      <c r="O149" s="39"/>
      <c r="P149" s="40"/>
      <c r="Q149" s="67"/>
      <c r="R149" s="43"/>
      <c r="S149" s="39"/>
      <c r="T149" s="39"/>
      <c r="U149" s="39"/>
      <c r="V149" s="39"/>
      <c r="W149" s="45"/>
      <c r="X149" s="47"/>
      <c r="Y149" s="39"/>
      <c r="Z149" s="39"/>
    </row>
    <row r="150" spans="1:3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71"/>
      <c r="L150" s="61"/>
      <c r="M150" s="39"/>
      <c r="N150" s="39"/>
      <c r="O150" s="39"/>
      <c r="P150" s="40"/>
      <c r="Q150" s="67"/>
      <c r="R150" s="43"/>
      <c r="S150" s="39"/>
      <c r="T150" s="39"/>
      <c r="U150" s="39"/>
      <c r="V150" s="39"/>
      <c r="W150" s="45"/>
      <c r="X150" s="47"/>
      <c r="Y150" s="39"/>
      <c r="Z150" s="39"/>
    </row>
    <row r="151" spans="1:3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71"/>
      <c r="L151" s="61"/>
      <c r="M151" s="39"/>
      <c r="N151" s="39"/>
      <c r="O151" s="39"/>
      <c r="P151" s="40"/>
      <c r="Q151" s="67"/>
      <c r="R151" s="43"/>
      <c r="S151" s="39"/>
      <c r="T151" s="39"/>
      <c r="U151" s="39"/>
      <c r="V151" s="39"/>
      <c r="W151" s="45"/>
      <c r="X151" s="47"/>
      <c r="Y151" s="39"/>
      <c r="Z151" s="39"/>
    </row>
    <row r="152" spans="1:3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71"/>
      <c r="L152" s="61"/>
      <c r="M152" s="39"/>
      <c r="N152" s="39"/>
      <c r="O152" s="39"/>
      <c r="P152" s="40"/>
      <c r="Q152" s="67"/>
      <c r="R152" s="43"/>
      <c r="S152" s="39"/>
      <c r="T152" s="39"/>
      <c r="U152" s="39"/>
      <c r="V152" s="39"/>
      <c r="W152" s="45"/>
      <c r="X152" s="47"/>
      <c r="Y152" s="39"/>
      <c r="Z152" s="39"/>
    </row>
    <row r="153" spans="1:3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71"/>
      <c r="L153" s="61"/>
      <c r="M153" s="39"/>
      <c r="N153" s="39"/>
      <c r="O153" s="39"/>
      <c r="P153" s="40"/>
      <c r="Q153" s="67"/>
      <c r="R153" s="43"/>
      <c r="S153" s="39"/>
      <c r="T153" s="39"/>
      <c r="U153" s="39"/>
      <c r="V153" s="39"/>
      <c r="W153" s="45"/>
      <c r="X153" s="47"/>
      <c r="Y153" s="39"/>
      <c r="Z153" s="41"/>
      <c r="AA153" s="32"/>
      <c r="AB153" s="32"/>
      <c r="AC153" s="32"/>
      <c r="AD153" s="32"/>
      <c r="AE153" s="32"/>
    </row>
    <row r="154" spans="1:3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71"/>
      <c r="L154" s="61"/>
      <c r="M154" s="39"/>
      <c r="N154" s="39"/>
      <c r="O154" s="39"/>
      <c r="P154" s="40"/>
      <c r="Q154" s="67"/>
      <c r="R154" s="43"/>
      <c r="S154" s="39"/>
      <c r="T154" s="39"/>
      <c r="U154" s="39"/>
      <c r="V154" s="39"/>
      <c r="W154" s="45"/>
      <c r="X154" s="47"/>
      <c r="Y154" s="39"/>
      <c r="Z154" s="41"/>
      <c r="AA154" s="32"/>
      <c r="AB154" s="32"/>
      <c r="AC154" s="32"/>
      <c r="AD154" s="32"/>
      <c r="AE154" s="32"/>
    </row>
    <row r="155" spans="1:3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71"/>
      <c r="L155" s="61"/>
      <c r="M155" s="39"/>
      <c r="N155" s="39"/>
      <c r="O155" s="39"/>
      <c r="P155" s="40"/>
      <c r="Q155" s="67"/>
      <c r="R155" s="43"/>
      <c r="S155" s="39"/>
      <c r="T155" s="39"/>
      <c r="U155" s="39"/>
      <c r="V155" s="39"/>
      <c r="W155" s="45"/>
      <c r="X155" s="47"/>
      <c r="Y155" s="39"/>
      <c r="Z155" s="41"/>
      <c r="AA155" s="32"/>
      <c r="AB155" s="32"/>
      <c r="AC155" s="32"/>
      <c r="AD155" s="32"/>
      <c r="AE155" s="32"/>
    </row>
    <row r="156" spans="1:3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72"/>
      <c r="L156" s="60"/>
      <c r="M156" s="37"/>
      <c r="N156" s="37"/>
      <c r="O156" s="37"/>
      <c r="P156" s="38"/>
      <c r="Q156" s="68"/>
      <c r="R156" s="42"/>
      <c r="S156" s="37"/>
      <c r="T156" s="37"/>
      <c r="U156" s="37"/>
      <c r="V156" s="37"/>
      <c r="W156" s="45"/>
      <c r="X156" s="47"/>
      <c r="Y156" s="39"/>
      <c r="Z156" s="39"/>
      <c r="AA156" s="33"/>
      <c r="AB156" s="33"/>
      <c r="AC156" s="33"/>
      <c r="AD156" s="33"/>
      <c r="AE156" s="33"/>
    </row>
    <row r="157" spans="1:3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71"/>
      <c r="L157" s="61"/>
      <c r="M157" s="39"/>
      <c r="N157" s="39"/>
      <c r="O157" s="39"/>
      <c r="P157" s="40"/>
      <c r="Q157" s="67"/>
      <c r="R157" s="43"/>
      <c r="S157" s="39"/>
      <c r="T157" s="39"/>
      <c r="U157" s="39"/>
      <c r="V157" s="39"/>
      <c r="W157" s="45"/>
      <c r="X157" s="47"/>
      <c r="Y157" s="39"/>
      <c r="Z157" s="39"/>
      <c r="AA157" s="32"/>
      <c r="AB157" s="32"/>
      <c r="AC157" s="32"/>
      <c r="AD157" s="32"/>
      <c r="AE157" s="32"/>
    </row>
    <row r="158" spans="1:3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71"/>
      <c r="L158" s="61"/>
      <c r="M158" s="39"/>
      <c r="N158" s="39"/>
      <c r="O158" s="39"/>
      <c r="P158" s="40"/>
      <c r="Q158" s="67"/>
      <c r="R158" s="43"/>
      <c r="S158" s="39"/>
      <c r="T158" s="39"/>
      <c r="U158" s="39"/>
      <c r="V158" s="39"/>
      <c r="W158" s="45"/>
      <c r="X158" s="47"/>
      <c r="Y158" s="39"/>
      <c r="Z158" s="39"/>
      <c r="AA158" s="32"/>
      <c r="AB158" s="32"/>
      <c r="AC158" s="32"/>
      <c r="AD158" s="32"/>
      <c r="AE158" s="32"/>
    </row>
    <row r="159" spans="1:3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71"/>
      <c r="L159" s="61"/>
      <c r="M159" s="39"/>
      <c r="N159" s="39"/>
      <c r="O159" s="39"/>
      <c r="P159" s="40"/>
      <c r="Q159" s="67"/>
      <c r="R159" s="43"/>
      <c r="S159" s="39"/>
      <c r="T159" s="39"/>
      <c r="U159" s="39"/>
      <c r="V159" s="39"/>
      <c r="W159" s="45"/>
      <c r="X159" s="47"/>
      <c r="Y159" s="39"/>
      <c r="Z159" s="39"/>
      <c r="AA159" s="32"/>
      <c r="AB159" s="32"/>
      <c r="AC159" s="32"/>
      <c r="AD159" s="32"/>
      <c r="AE159" s="32"/>
    </row>
    <row r="160" spans="1:3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71"/>
      <c r="L160" s="61"/>
      <c r="M160" s="39"/>
      <c r="N160" s="39"/>
      <c r="O160" s="39"/>
      <c r="P160" s="40"/>
      <c r="Q160" s="67"/>
      <c r="R160" s="43"/>
      <c r="S160" s="39"/>
      <c r="T160" s="39"/>
      <c r="U160" s="39"/>
      <c r="V160" s="39"/>
      <c r="W160" s="45"/>
      <c r="X160" s="47"/>
      <c r="Y160" s="39"/>
      <c r="Z160" s="39"/>
      <c r="AA160" s="32"/>
      <c r="AB160" s="32"/>
      <c r="AC160" s="32"/>
      <c r="AD160" s="32"/>
      <c r="AE160" s="32"/>
    </row>
    <row r="161" spans="1:31">
      <c r="K161" s="73"/>
      <c r="M161" s="70"/>
      <c r="P161" s="70"/>
      <c r="Q161" s="69"/>
    </row>
    <row r="162" spans="1:3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71"/>
      <c r="L162" s="61"/>
      <c r="M162" s="39"/>
      <c r="N162" s="39"/>
      <c r="O162" s="39"/>
      <c r="P162" s="40"/>
      <c r="Q162" s="67"/>
      <c r="R162" s="43"/>
      <c r="S162" s="39"/>
      <c r="T162" s="39"/>
      <c r="U162" s="39"/>
      <c r="V162" s="39"/>
      <c r="W162" s="45"/>
      <c r="X162" s="47"/>
      <c r="Y162" s="39"/>
      <c r="Z162" s="41"/>
      <c r="AA162" s="32"/>
      <c r="AB162" s="32"/>
      <c r="AC162" s="32"/>
      <c r="AD162" s="32"/>
      <c r="AE162" s="32"/>
    </row>
    <row r="163" spans="1:3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71"/>
      <c r="L163" s="61"/>
      <c r="M163" s="39"/>
      <c r="N163" s="39"/>
      <c r="O163" s="39"/>
      <c r="P163" s="40"/>
      <c r="Q163" s="67"/>
      <c r="R163" s="43"/>
      <c r="S163" s="39"/>
      <c r="T163" s="39"/>
      <c r="U163" s="39"/>
      <c r="V163" s="39"/>
      <c r="W163" s="45"/>
      <c r="X163" s="47"/>
      <c r="Y163" s="39"/>
      <c r="Z163" s="41"/>
      <c r="AA163" s="32"/>
      <c r="AB163" s="32"/>
      <c r="AC163" s="32"/>
      <c r="AD163" s="32"/>
      <c r="AE163" s="32"/>
    </row>
    <row r="164" spans="1:3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71"/>
      <c r="L164" s="61"/>
      <c r="M164" s="39"/>
      <c r="N164" s="39"/>
      <c r="O164" s="39"/>
      <c r="P164" s="40"/>
      <c r="Q164" s="67"/>
      <c r="R164" s="43"/>
      <c r="S164" s="39"/>
      <c r="T164" s="39"/>
      <c r="U164" s="39"/>
      <c r="V164" s="39"/>
      <c r="W164" s="45"/>
      <c r="X164" s="47"/>
      <c r="Y164" s="39"/>
      <c r="Z164" s="41"/>
      <c r="AA164" s="32"/>
      <c r="AB164" s="32"/>
      <c r="AC164" s="32"/>
      <c r="AD164" s="32"/>
      <c r="AE164" s="32"/>
    </row>
    <row r="165" spans="1:3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72"/>
      <c r="L165" s="60"/>
      <c r="M165" s="37"/>
      <c r="N165" s="37"/>
      <c r="O165" s="37"/>
      <c r="P165" s="38"/>
      <c r="Q165" s="68"/>
      <c r="R165" s="42"/>
      <c r="S165" s="37"/>
      <c r="T165" s="37"/>
      <c r="U165" s="37"/>
      <c r="V165" s="37"/>
      <c r="W165" s="45"/>
      <c r="X165" s="47"/>
      <c r="Y165" s="39"/>
      <c r="Z165" s="39"/>
      <c r="AA165" s="33"/>
      <c r="AB165" s="33"/>
      <c r="AC165" s="33"/>
      <c r="AD165" s="33"/>
      <c r="AE165" s="33"/>
    </row>
    <row r="166" spans="1:3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71"/>
      <c r="L166" s="61"/>
      <c r="M166" s="39"/>
      <c r="N166" s="39"/>
      <c r="O166" s="39"/>
      <c r="P166" s="40"/>
      <c r="Q166" s="67"/>
      <c r="R166" s="43"/>
      <c r="S166" s="39"/>
      <c r="T166" s="39"/>
      <c r="U166" s="39"/>
      <c r="V166" s="39"/>
      <c r="W166" s="45"/>
      <c r="X166" s="47"/>
      <c r="Y166" s="39"/>
      <c r="Z166" s="39"/>
      <c r="AA166" s="32"/>
      <c r="AB166" s="32"/>
      <c r="AC166" s="32"/>
      <c r="AD166" s="32"/>
      <c r="AE166" s="32"/>
    </row>
    <row r="167" spans="1:3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71"/>
      <c r="L167" s="61"/>
      <c r="M167" s="39"/>
      <c r="N167" s="39"/>
      <c r="O167" s="39"/>
      <c r="P167" s="40"/>
      <c r="Q167" s="67"/>
      <c r="R167" s="43"/>
      <c r="S167" s="39"/>
      <c r="T167" s="39"/>
      <c r="U167" s="39"/>
      <c r="V167" s="39"/>
      <c r="W167" s="45"/>
      <c r="X167" s="47"/>
      <c r="Y167" s="39"/>
      <c r="Z167" s="39"/>
      <c r="AA167" s="32"/>
      <c r="AB167" s="32"/>
      <c r="AC167" s="32"/>
      <c r="AD167" s="32"/>
      <c r="AE167" s="32"/>
    </row>
    <row r="168" spans="1:3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71"/>
      <c r="L168" s="61"/>
      <c r="M168" s="39"/>
      <c r="N168" s="39"/>
      <c r="O168" s="39"/>
      <c r="P168" s="40"/>
      <c r="Q168" s="67"/>
      <c r="R168" s="43"/>
      <c r="S168" s="39"/>
      <c r="T168" s="39"/>
      <c r="U168" s="39"/>
      <c r="V168" s="39"/>
      <c r="W168" s="45"/>
      <c r="X168" s="47"/>
      <c r="Y168" s="39"/>
      <c r="Z168" s="39"/>
      <c r="AA168" s="32"/>
      <c r="AB168" s="32"/>
      <c r="AC168" s="32"/>
      <c r="AD168" s="32"/>
      <c r="AE168" s="32"/>
    </row>
    <row r="169" spans="1:3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71"/>
      <c r="L169" s="61"/>
      <c r="M169" s="39"/>
      <c r="N169" s="39"/>
      <c r="O169" s="39"/>
      <c r="P169" s="40"/>
      <c r="Q169" s="67"/>
      <c r="R169" s="43"/>
      <c r="S169" s="39"/>
      <c r="T169" s="39"/>
      <c r="U169" s="39"/>
      <c r="V169" s="39"/>
      <c r="W169" s="45"/>
      <c r="X169" s="47"/>
      <c r="Y169" s="39"/>
      <c r="Z169" s="39"/>
      <c r="AA169" s="32"/>
      <c r="AB169" s="32"/>
      <c r="AC169" s="32"/>
      <c r="AD169" s="32"/>
      <c r="AE169" s="32"/>
    </row>
    <row r="170" spans="1:31">
      <c r="K170" s="73"/>
      <c r="M170" s="70"/>
      <c r="Q170" s="69"/>
      <c r="Y170" s="70"/>
      <c r="Z170" s="70"/>
    </row>
    <row r="171" spans="1:3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71"/>
      <c r="L171" s="61"/>
      <c r="M171" s="39"/>
      <c r="N171" s="39"/>
      <c r="O171" s="39"/>
      <c r="P171" s="40"/>
      <c r="Q171" s="67"/>
      <c r="R171" s="43"/>
      <c r="S171" s="39"/>
      <c r="T171" s="39"/>
      <c r="U171" s="39"/>
      <c r="V171" s="39"/>
      <c r="W171" s="45"/>
      <c r="X171" s="47"/>
      <c r="Y171" s="39"/>
      <c r="Z171" s="41"/>
      <c r="AA171" s="32"/>
      <c r="AB171" s="32"/>
      <c r="AC171" s="32"/>
      <c r="AD171" s="32"/>
      <c r="AE171" s="32"/>
    </row>
    <row r="172" spans="1:3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71"/>
      <c r="L172" s="61"/>
      <c r="M172" s="39"/>
      <c r="N172" s="39"/>
      <c r="O172" s="39"/>
      <c r="P172" s="40"/>
      <c r="Q172" s="67"/>
      <c r="R172" s="43"/>
      <c r="S172" s="39"/>
      <c r="T172" s="39"/>
      <c r="U172" s="39"/>
      <c r="V172" s="39"/>
      <c r="W172" s="45"/>
      <c r="X172" s="47"/>
      <c r="Y172" s="39"/>
      <c r="Z172" s="41"/>
      <c r="AA172" s="32"/>
      <c r="AB172" s="32"/>
      <c r="AC172" s="32"/>
      <c r="AD172" s="32"/>
      <c r="AE172" s="32"/>
    </row>
    <row r="173" spans="1:3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71"/>
      <c r="L173" s="61"/>
      <c r="M173" s="39"/>
      <c r="N173" s="39"/>
      <c r="O173" s="39"/>
      <c r="P173" s="40"/>
      <c r="Q173" s="67"/>
      <c r="R173" s="43"/>
      <c r="S173" s="39"/>
      <c r="T173" s="39"/>
      <c r="U173" s="39"/>
      <c r="V173" s="39"/>
      <c r="W173" s="45"/>
      <c r="X173" s="47"/>
      <c r="Y173" s="39"/>
      <c r="Z173" s="41"/>
      <c r="AA173" s="32"/>
      <c r="AB173" s="32"/>
      <c r="AC173" s="32"/>
      <c r="AD173" s="32"/>
      <c r="AE173" s="32"/>
    </row>
    <row r="174" spans="1:3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72"/>
      <c r="L174" s="60"/>
      <c r="M174" s="37"/>
      <c r="N174" s="37"/>
      <c r="O174" s="37"/>
      <c r="P174" s="38"/>
      <c r="Q174" s="68"/>
      <c r="R174" s="42"/>
      <c r="S174" s="37"/>
      <c r="T174" s="37"/>
      <c r="U174" s="37"/>
      <c r="V174" s="37"/>
      <c r="W174" s="45"/>
      <c r="X174" s="47"/>
      <c r="Y174" s="39"/>
      <c r="Z174" s="39"/>
      <c r="AA174" s="33"/>
      <c r="AB174" s="33"/>
      <c r="AC174" s="33"/>
      <c r="AD174" s="33"/>
      <c r="AE174" s="33"/>
    </row>
    <row r="175" spans="1:3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71"/>
      <c r="L175" s="61"/>
      <c r="M175" s="39"/>
      <c r="N175" s="39"/>
      <c r="O175" s="39"/>
      <c r="P175" s="40"/>
      <c r="Q175" s="67"/>
      <c r="R175" s="43"/>
      <c r="S175" s="39"/>
      <c r="T175" s="39"/>
      <c r="U175" s="39"/>
      <c r="V175" s="39"/>
      <c r="W175" s="45"/>
      <c r="X175" s="47"/>
      <c r="Y175" s="39"/>
      <c r="Z175" s="39"/>
      <c r="AA175" s="32"/>
      <c r="AB175" s="32"/>
      <c r="AC175" s="32"/>
      <c r="AD175" s="32"/>
      <c r="AE175" s="32"/>
    </row>
    <row r="176" spans="1:3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71"/>
      <c r="L176" s="61"/>
      <c r="M176" s="39"/>
      <c r="N176" s="39"/>
      <c r="O176" s="39"/>
      <c r="P176" s="40"/>
      <c r="Q176" s="67"/>
      <c r="R176" s="43"/>
      <c r="S176" s="39"/>
      <c r="T176" s="39"/>
      <c r="U176" s="39"/>
      <c r="V176" s="39"/>
      <c r="W176" s="45"/>
      <c r="X176" s="47"/>
      <c r="Y176" s="39"/>
      <c r="Z176" s="39"/>
      <c r="AA176" s="32"/>
      <c r="AB176" s="32"/>
      <c r="AC176" s="32"/>
      <c r="AD176" s="32"/>
      <c r="AE176" s="32"/>
    </row>
    <row r="177" spans="1:3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71"/>
      <c r="L177" s="61"/>
      <c r="M177" s="39"/>
      <c r="N177" s="39"/>
      <c r="O177" s="39"/>
      <c r="P177" s="40"/>
      <c r="Q177" s="67"/>
      <c r="R177" s="43"/>
      <c r="S177" s="39"/>
      <c r="T177" s="39"/>
      <c r="U177" s="39"/>
      <c r="V177" s="39"/>
      <c r="W177" s="45"/>
      <c r="X177" s="47"/>
      <c r="Y177" s="39"/>
      <c r="Z177" s="39"/>
      <c r="AA177" s="32"/>
      <c r="AB177" s="32"/>
      <c r="AC177" s="32"/>
      <c r="AD177" s="32"/>
      <c r="AE177" s="32"/>
    </row>
    <row r="178" spans="1:3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71"/>
      <c r="L178" s="61"/>
      <c r="M178" s="39"/>
      <c r="N178" s="39"/>
      <c r="O178" s="39"/>
      <c r="P178" s="40"/>
      <c r="Q178" s="67"/>
      <c r="R178" s="43"/>
      <c r="S178" s="39"/>
      <c r="T178" s="39"/>
      <c r="U178" s="39"/>
      <c r="V178" s="39"/>
      <c r="W178" s="45"/>
      <c r="X178" s="47"/>
      <c r="Y178" s="39"/>
      <c r="Z178" s="39"/>
      <c r="AA178" s="32"/>
      <c r="AB178" s="32"/>
      <c r="AC178" s="32"/>
      <c r="AD178" s="32"/>
      <c r="AE178" s="32"/>
    </row>
    <row r="179" spans="1:31">
      <c r="K179" s="73"/>
      <c r="M179" s="70"/>
      <c r="P179" s="70"/>
      <c r="Q179" s="69"/>
    </row>
    <row r="180" spans="1:3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71"/>
      <c r="L180" s="61"/>
      <c r="M180" s="39"/>
      <c r="N180" s="39"/>
      <c r="O180" s="39"/>
      <c r="P180" s="40"/>
      <c r="Q180" s="67"/>
      <c r="R180" s="43"/>
      <c r="S180" s="39"/>
      <c r="T180" s="39"/>
      <c r="U180" s="39"/>
      <c r="V180" s="39"/>
      <c r="W180" s="45"/>
      <c r="X180" s="47"/>
      <c r="Y180" s="39"/>
      <c r="Z180" s="41"/>
      <c r="AA180" s="32"/>
      <c r="AB180" s="32"/>
      <c r="AC180" s="32"/>
      <c r="AD180" s="32"/>
      <c r="AE180" s="32"/>
    </row>
    <row r="181" spans="1:3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71"/>
      <c r="L181" s="61"/>
      <c r="M181" s="39"/>
      <c r="N181" s="39"/>
      <c r="O181" s="39"/>
      <c r="P181" s="40"/>
      <c r="Q181" s="67"/>
      <c r="R181" s="43"/>
      <c r="S181" s="39"/>
      <c r="T181" s="39"/>
      <c r="U181" s="39"/>
      <c r="V181" s="39"/>
      <c r="W181" s="45"/>
      <c r="X181" s="47"/>
      <c r="Y181" s="39"/>
      <c r="Z181" s="41"/>
      <c r="AA181" s="32"/>
      <c r="AB181" s="32"/>
      <c r="AC181" s="32"/>
      <c r="AD181" s="32"/>
      <c r="AE181" s="32"/>
    </row>
    <row r="182" spans="1:3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71"/>
      <c r="L182" s="61"/>
      <c r="M182" s="39"/>
      <c r="N182" s="39"/>
      <c r="O182" s="39"/>
      <c r="P182" s="40"/>
      <c r="Q182" s="67"/>
      <c r="R182" s="43"/>
      <c r="S182" s="39"/>
      <c r="T182" s="39"/>
      <c r="U182" s="39"/>
      <c r="V182" s="39"/>
      <c r="W182" s="45"/>
      <c r="X182" s="47"/>
      <c r="Y182" s="39"/>
      <c r="Z182" s="41"/>
      <c r="AA182" s="32"/>
      <c r="AB182" s="32"/>
      <c r="AC182" s="32"/>
      <c r="AD182" s="32"/>
      <c r="AE182" s="32"/>
    </row>
    <row r="183" spans="1:3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72"/>
      <c r="L183" s="60"/>
      <c r="M183" s="37"/>
      <c r="N183" s="37"/>
      <c r="O183" s="37"/>
      <c r="P183" s="38"/>
      <c r="Q183" s="68"/>
      <c r="R183" s="42"/>
      <c r="S183" s="37"/>
      <c r="T183" s="37"/>
      <c r="U183" s="37"/>
      <c r="V183" s="37"/>
      <c r="W183" s="45"/>
      <c r="X183" s="47"/>
      <c r="Y183" s="39"/>
      <c r="Z183" s="39"/>
      <c r="AA183" s="33"/>
      <c r="AB183" s="33"/>
      <c r="AC183" s="33"/>
      <c r="AD183" s="33"/>
      <c r="AE183" s="33"/>
    </row>
    <row r="184" spans="1:3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71"/>
      <c r="L184" s="61"/>
      <c r="M184" s="39"/>
      <c r="N184" s="39"/>
      <c r="O184" s="39"/>
      <c r="P184" s="40"/>
      <c r="Q184" s="67"/>
      <c r="R184" s="43"/>
      <c r="S184" s="39"/>
      <c r="T184" s="39"/>
      <c r="U184" s="39"/>
      <c r="V184" s="39"/>
      <c r="W184" s="45"/>
      <c r="X184" s="47"/>
      <c r="Y184" s="39"/>
      <c r="Z184" s="39"/>
      <c r="AA184" s="32"/>
      <c r="AB184" s="32"/>
      <c r="AC184" s="32"/>
      <c r="AD184" s="32"/>
      <c r="AE184" s="32"/>
    </row>
    <row r="185" spans="1:3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71"/>
      <c r="L185" s="61"/>
      <c r="M185" s="39"/>
      <c r="N185" s="39"/>
      <c r="O185" s="39"/>
      <c r="P185" s="40"/>
      <c r="Q185" s="67"/>
      <c r="R185" s="43"/>
      <c r="S185" s="39"/>
      <c r="T185" s="39"/>
      <c r="U185" s="39"/>
      <c r="V185" s="39"/>
      <c r="W185" s="45"/>
      <c r="X185" s="47"/>
      <c r="Y185" s="39"/>
      <c r="Z185" s="39"/>
      <c r="AA185" s="32"/>
      <c r="AB185" s="32"/>
      <c r="AC185" s="32"/>
      <c r="AD185" s="32"/>
      <c r="AE185" s="32"/>
    </row>
    <row r="186" spans="1:3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71"/>
      <c r="L186" s="61"/>
      <c r="M186" s="39"/>
      <c r="N186" s="39"/>
      <c r="O186" s="39"/>
      <c r="P186" s="40"/>
      <c r="Q186" s="67"/>
      <c r="R186" s="43"/>
      <c r="S186" s="39"/>
      <c r="T186" s="39"/>
      <c r="U186" s="39"/>
      <c r="V186" s="39"/>
      <c r="W186" s="45"/>
      <c r="X186" s="47"/>
      <c r="Y186" s="39"/>
      <c r="Z186" s="39"/>
      <c r="AA186" s="32"/>
      <c r="AB186" s="32"/>
      <c r="AC186" s="32"/>
      <c r="AD186" s="32"/>
      <c r="AE186" s="32"/>
    </row>
    <row r="187" spans="1:3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71"/>
      <c r="L187" s="61"/>
      <c r="M187" s="39"/>
      <c r="N187" s="39"/>
      <c r="O187" s="39"/>
      <c r="P187" s="40"/>
      <c r="Q187" s="67"/>
      <c r="R187" s="43"/>
      <c r="S187" s="39"/>
      <c r="T187" s="39"/>
      <c r="U187" s="39"/>
      <c r="V187" s="39"/>
      <c r="W187" s="45"/>
      <c r="X187" s="47"/>
      <c r="Y187" s="39"/>
      <c r="Z187" s="39"/>
      <c r="AA187" s="32"/>
      <c r="AB187" s="32"/>
      <c r="AC187" s="32"/>
      <c r="AD187" s="32"/>
      <c r="AE187" s="32"/>
    </row>
    <row r="188" spans="1:31">
      <c r="K188" s="73"/>
      <c r="M188" s="70"/>
      <c r="P188" s="70"/>
      <c r="Q188" s="69"/>
      <c r="X188" s="70"/>
      <c r="Y188" s="70"/>
      <c r="Z188" s="70"/>
    </row>
    <row r="189" spans="1:3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71"/>
      <c r="L189" s="61"/>
      <c r="M189" s="39"/>
      <c r="N189" s="39"/>
      <c r="O189" s="39"/>
      <c r="P189" s="40"/>
      <c r="Q189" s="67"/>
      <c r="R189" s="43"/>
      <c r="S189" s="39"/>
      <c r="T189" s="39"/>
      <c r="U189" s="39"/>
      <c r="V189" s="39"/>
      <c r="W189" s="45"/>
      <c r="X189" s="47"/>
      <c r="Y189" s="39"/>
      <c r="Z189" s="41"/>
      <c r="AA189" s="32"/>
      <c r="AB189" s="32"/>
      <c r="AC189" s="32"/>
      <c r="AD189" s="32"/>
      <c r="AE189" s="32"/>
    </row>
    <row r="190" spans="1:3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71"/>
      <c r="L190" s="61"/>
      <c r="M190" s="39"/>
      <c r="N190" s="39"/>
      <c r="O190" s="39"/>
      <c r="P190" s="40"/>
      <c r="Q190" s="67"/>
      <c r="R190" s="43"/>
      <c r="S190" s="39"/>
      <c r="T190" s="39"/>
      <c r="U190" s="39"/>
      <c r="V190" s="39"/>
      <c r="W190" s="45"/>
      <c r="X190" s="47"/>
      <c r="Y190" s="39"/>
      <c r="Z190" s="41"/>
      <c r="AA190" s="32"/>
      <c r="AB190" s="32"/>
      <c r="AC190" s="32"/>
      <c r="AD190" s="32"/>
      <c r="AE190" s="32"/>
    </row>
    <row r="191" spans="1:3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71"/>
      <c r="L191" s="61"/>
      <c r="M191" s="39"/>
      <c r="N191" s="39"/>
      <c r="O191" s="39"/>
      <c r="P191" s="40"/>
      <c r="Q191" s="67"/>
      <c r="R191" s="43"/>
      <c r="S191" s="39"/>
      <c r="T191" s="39"/>
      <c r="U191" s="39"/>
      <c r="V191" s="39"/>
      <c r="W191" s="45"/>
      <c r="X191" s="47"/>
      <c r="Y191" s="39"/>
      <c r="Z191" s="41"/>
      <c r="AA191" s="32"/>
      <c r="AB191" s="32"/>
      <c r="AC191" s="32"/>
      <c r="AD191" s="32"/>
      <c r="AE191" s="32"/>
    </row>
    <row r="192" spans="1:3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72"/>
      <c r="L192" s="60"/>
      <c r="M192" s="37"/>
      <c r="N192" s="37"/>
      <c r="O192" s="37"/>
      <c r="P192" s="38"/>
      <c r="Q192" s="68"/>
      <c r="R192" s="42"/>
      <c r="S192" s="37"/>
      <c r="T192" s="37"/>
      <c r="U192" s="37"/>
      <c r="V192" s="37"/>
      <c r="W192" s="45"/>
      <c r="X192" s="47"/>
      <c r="Y192" s="39"/>
      <c r="Z192" s="39"/>
      <c r="AA192" s="33"/>
      <c r="AB192" s="33"/>
      <c r="AC192" s="33"/>
      <c r="AD192" s="33"/>
      <c r="AE192" s="33"/>
    </row>
    <row r="193" spans="1:3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71"/>
      <c r="L193" s="61"/>
      <c r="M193" s="39"/>
      <c r="N193" s="39"/>
      <c r="O193" s="39"/>
      <c r="P193" s="40"/>
      <c r="Q193" s="67"/>
      <c r="R193" s="43"/>
      <c r="S193" s="39"/>
      <c r="T193" s="39"/>
      <c r="U193" s="39"/>
      <c r="V193" s="39"/>
      <c r="W193" s="45"/>
      <c r="X193" s="47"/>
      <c r="Y193" s="39"/>
      <c r="Z193" s="39"/>
      <c r="AA193" s="32"/>
      <c r="AB193" s="32"/>
      <c r="AC193" s="32"/>
      <c r="AD193" s="32"/>
      <c r="AE193" s="32"/>
    </row>
    <row r="194" spans="1:3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71"/>
      <c r="L194" s="61"/>
      <c r="M194" s="39"/>
      <c r="N194" s="39"/>
      <c r="O194" s="39"/>
      <c r="P194" s="40"/>
      <c r="Q194" s="67"/>
      <c r="R194" s="43"/>
      <c r="S194" s="39"/>
      <c r="T194" s="39"/>
      <c r="U194" s="39"/>
      <c r="V194" s="39"/>
      <c r="W194" s="45"/>
      <c r="X194" s="47"/>
      <c r="Y194" s="39"/>
      <c r="Z194" s="39"/>
      <c r="AA194" s="32"/>
      <c r="AB194" s="32"/>
      <c r="AC194" s="32"/>
      <c r="AD194" s="32"/>
      <c r="AE194" s="32"/>
    </row>
    <row r="195" spans="1:3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71"/>
      <c r="L195" s="61"/>
      <c r="M195" s="39"/>
      <c r="N195" s="39"/>
      <c r="O195" s="39"/>
      <c r="P195" s="40"/>
      <c r="Q195" s="67"/>
      <c r="R195" s="43"/>
      <c r="S195" s="39"/>
      <c r="T195" s="39"/>
      <c r="U195" s="39"/>
      <c r="V195" s="39"/>
      <c r="W195" s="45"/>
      <c r="X195" s="47"/>
      <c r="Y195" s="39"/>
      <c r="Z195" s="39"/>
      <c r="AA195" s="32"/>
      <c r="AB195" s="32"/>
      <c r="AC195" s="32"/>
      <c r="AD195" s="32"/>
      <c r="AE195" s="32"/>
    </row>
    <row r="196" spans="1:3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71"/>
      <c r="L196" s="61"/>
      <c r="M196" s="39"/>
      <c r="N196" s="39"/>
      <c r="O196" s="39"/>
      <c r="P196" s="40"/>
      <c r="Q196" s="67"/>
      <c r="R196" s="43"/>
      <c r="S196" s="39"/>
      <c r="T196" s="39"/>
      <c r="U196" s="39"/>
      <c r="V196" s="39"/>
      <c r="W196" s="45"/>
      <c r="X196" s="47"/>
      <c r="Y196" s="39"/>
      <c r="Z196" s="39"/>
      <c r="AA196" s="32"/>
      <c r="AB196" s="32"/>
      <c r="AC196" s="32"/>
      <c r="AD196" s="32"/>
      <c r="AE196" s="32"/>
    </row>
    <row r="197" spans="1:31">
      <c r="K197" s="73"/>
      <c r="M197" s="70"/>
      <c r="Q197" s="69"/>
      <c r="X197" s="70"/>
      <c r="Y197" s="70"/>
      <c r="Z197" s="70"/>
    </row>
    <row r="198" spans="1:3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71"/>
      <c r="L198" s="61"/>
      <c r="M198" s="39"/>
      <c r="N198" s="39"/>
      <c r="O198" s="39"/>
      <c r="P198" s="40"/>
      <c r="Q198" s="67"/>
      <c r="R198" s="43"/>
      <c r="S198" s="39"/>
      <c r="T198" s="39"/>
      <c r="U198" s="39"/>
      <c r="V198" s="39"/>
      <c r="W198" s="45"/>
      <c r="X198" s="47"/>
      <c r="Y198" s="39"/>
      <c r="Z198" s="41"/>
      <c r="AA198" s="32"/>
      <c r="AB198" s="32"/>
      <c r="AC198" s="32"/>
      <c r="AD198" s="32"/>
      <c r="AE198" s="32"/>
    </row>
    <row r="199" spans="1:3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71"/>
      <c r="L199" s="61"/>
      <c r="M199" s="39"/>
      <c r="N199" s="39"/>
      <c r="O199" s="39"/>
      <c r="P199" s="40"/>
      <c r="Q199" s="67"/>
      <c r="R199" s="43"/>
      <c r="S199" s="39"/>
      <c r="T199" s="39"/>
      <c r="U199" s="39"/>
      <c r="V199" s="39"/>
      <c r="W199" s="45"/>
      <c r="X199" s="47"/>
      <c r="Y199" s="39"/>
      <c r="Z199" s="41"/>
      <c r="AA199" s="32"/>
      <c r="AB199" s="32"/>
      <c r="AC199" s="32"/>
      <c r="AD199" s="32"/>
      <c r="AE199" s="32"/>
    </row>
    <row r="200" spans="1:3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71"/>
      <c r="L200" s="61"/>
      <c r="M200" s="39"/>
      <c r="N200" s="39"/>
      <c r="O200" s="39"/>
      <c r="P200" s="40"/>
      <c r="Q200" s="67"/>
      <c r="R200" s="43"/>
      <c r="S200" s="39"/>
      <c r="T200" s="39"/>
      <c r="U200" s="39"/>
      <c r="V200" s="39"/>
      <c r="W200" s="45"/>
      <c r="X200" s="47"/>
      <c r="Y200" s="39"/>
      <c r="Z200" s="41"/>
      <c r="AA200" s="32"/>
      <c r="AB200" s="32"/>
      <c r="AC200" s="32"/>
      <c r="AD200" s="32"/>
      <c r="AE200" s="32"/>
    </row>
    <row r="201" spans="1:3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72"/>
      <c r="L201" s="60"/>
      <c r="M201" s="37"/>
      <c r="N201" s="37"/>
      <c r="O201" s="37"/>
      <c r="P201" s="38"/>
      <c r="Q201" s="68"/>
      <c r="R201" s="42"/>
      <c r="S201" s="37"/>
      <c r="T201" s="37"/>
      <c r="U201" s="37"/>
      <c r="V201" s="37"/>
      <c r="W201" s="45"/>
      <c r="X201" s="47"/>
      <c r="Y201" s="39"/>
      <c r="Z201" s="39"/>
      <c r="AA201" s="33"/>
      <c r="AB201" s="33"/>
      <c r="AC201" s="33"/>
      <c r="AD201" s="33"/>
      <c r="AE201" s="33"/>
    </row>
    <row r="202" spans="1:3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71"/>
      <c r="L202" s="61"/>
      <c r="M202" s="39"/>
      <c r="N202" s="39"/>
      <c r="O202" s="39"/>
      <c r="P202" s="40"/>
      <c r="Q202" s="67"/>
      <c r="R202" s="43"/>
      <c r="S202" s="39"/>
      <c r="T202" s="39"/>
      <c r="U202" s="39"/>
      <c r="V202" s="39"/>
      <c r="W202" s="45"/>
      <c r="X202" s="47"/>
      <c r="Y202" s="39"/>
      <c r="Z202" s="39"/>
      <c r="AA202" s="32"/>
      <c r="AB202" s="32"/>
      <c r="AC202" s="32"/>
      <c r="AD202" s="32"/>
      <c r="AE202" s="32"/>
    </row>
    <row r="203" spans="1:3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71"/>
      <c r="L203" s="61"/>
      <c r="M203" s="39"/>
      <c r="N203" s="39"/>
      <c r="O203" s="39"/>
      <c r="P203" s="40"/>
      <c r="Q203" s="67"/>
      <c r="R203" s="43"/>
      <c r="S203" s="39"/>
      <c r="T203" s="39"/>
      <c r="U203" s="39"/>
      <c r="V203" s="39"/>
      <c r="W203" s="45"/>
      <c r="X203" s="47"/>
      <c r="Y203" s="39"/>
      <c r="Z203" s="39"/>
      <c r="AA203" s="32"/>
      <c r="AB203" s="32"/>
      <c r="AC203" s="32"/>
      <c r="AD203" s="32"/>
      <c r="AE203" s="32"/>
    </row>
    <row r="204" spans="1:3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71"/>
      <c r="L204" s="61"/>
      <c r="M204" s="39"/>
      <c r="N204" s="39"/>
      <c r="O204" s="39"/>
      <c r="P204" s="40"/>
      <c r="Q204" s="67"/>
      <c r="R204" s="43"/>
      <c r="S204" s="39"/>
      <c r="T204" s="39"/>
      <c r="U204" s="39"/>
      <c r="V204" s="39"/>
      <c r="W204" s="45"/>
      <c r="X204" s="47"/>
      <c r="Y204" s="39"/>
      <c r="Z204" s="39"/>
      <c r="AA204" s="32"/>
      <c r="AB204" s="32"/>
      <c r="AC204" s="32"/>
      <c r="AD204" s="32"/>
      <c r="AE204" s="32"/>
    </row>
    <row r="205" spans="1:3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71"/>
      <c r="L205" s="61"/>
      <c r="M205" s="39"/>
      <c r="N205" s="39"/>
      <c r="O205" s="39"/>
      <c r="P205" s="40"/>
      <c r="Q205" s="67"/>
      <c r="R205" s="43"/>
      <c r="S205" s="39"/>
      <c r="T205" s="39"/>
      <c r="U205" s="39"/>
      <c r="V205" s="39"/>
      <c r="W205" s="45"/>
      <c r="X205" s="47"/>
      <c r="Y205" s="39"/>
      <c r="Z205" s="39"/>
      <c r="AA205" s="32"/>
      <c r="AB205" s="32"/>
      <c r="AC205" s="32"/>
      <c r="AD205" s="32"/>
      <c r="AE205" s="32"/>
    </row>
    <row r="206" spans="1:31">
      <c r="K206" s="73"/>
      <c r="M206" s="70"/>
      <c r="Q206" s="69"/>
    </row>
    <row r="207" spans="1:3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71"/>
      <c r="L207" s="61"/>
      <c r="M207" s="39"/>
      <c r="N207" s="39"/>
      <c r="O207" s="39"/>
      <c r="P207" s="40"/>
      <c r="Q207" s="67"/>
      <c r="R207" s="43"/>
      <c r="S207" s="39"/>
      <c r="T207" s="39"/>
      <c r="U207" s="39"/>
      <c r="V207" s="39"/>
      <c r="W207" s="45"/>
      <c r="X207" s="47"/>
      <c r="Y207" s="39"/>
      <c r="Z207" s="41"/>
      <c r="AA207" s="32"/>
      <c r="AB207" s="32"/>
      <c r="AC207" s="32"/>
      <c r="AD207" s="32"/>
      <c r="AE207" s="32"/>
    </row>
    <row r="208" spans="1:3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71"/>
      <c r="L208" s="61"/>
      <c r="M208" s="39"/>
      <c r="N208" s="39"/>
      <c r="O208" s="39"/>
      <c r="P208" s="40"/>
      <c r="Q208" s="67"/>
      <c r="R208" s="43"/>
      <c r="S208" s="39"/>
      <c r="T208" s="39"/>
      <c r="U208" s="39"/>
      <c r="V208" s="39"/>
      <c r="W208" s="45"/>
      <c r="X208" s="47"/>
      <c r="Y208" s="39"/>
      <c r="Z208" s="41"/>
      <c r="AA208" s="32"/>
      <c r="AB208" s="32"/>
      <c r="AC208" s="32"/>
      <c r="AD208" s="32"/>
      <c r="AE208" s="32"/>
    </row>
    <row r="209" spans="1:3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71"/>
      <c r="L209" s="61"/>
      <c r="M209" s="39"/>
      <c r="N209" s="39"/>
      <c r="O209" s="39"/>
      <c r="P209" s="40"/>
      <c r="Q209" s="67"/>
      <c r="R209" s="43"/>
      <c r="S209" s="39"/>
      <c r="T209" s="39"/>
      <c r="U209" s="39"/>
      <c r="V209" s="39"/>
      <c r="W209" s="45"/>
      <c r="X209" s="47"/>
      <c r="Y209" s="39"/>
      <c r="Z209" s="41"/>
      <c r="AA209" s="32"/>
      <c r="AB209" s="32"/>
      <c r="AC209" s="32"/>
      <c r="AD209" s="32"/>
      <c r="AE209" s="32"/>
    </row>
    <row r="210" spans="1:3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72"/>
      <c r="L210" s="60"/>
      <c r="M210" s="37"/>
      <c r="N210" s="37"/>
      <c r="O210" s="37"/>
      <c r="P210" s="38"/>
      <c r="Q210" s="68"/>
      <c r="R210" s="42"/>
      <c r="S210" s="37"/>
      <c r="T210" s="37"/>
      <c r="U210" s="37"/>
      <c r="V210" s="37"/>
      <c r="W210" s="45"/>
      <c r="X210" s="47"/>
      <c r="Y210" s="39"/>
      <c r="Z210" s="39"/>
      <c r="AA210" s="33"/>
      <c r="AB210" s="33"/>
      <c r="AC210" s="33"/>
      <c r="AD210" s="33"/>
      <c r="AE210" s="33"/>
    </row>
    <row r="211" spans="1:3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71"/>
      <c r="L211" s="61"/>
      <c r="M211" s="39"/>
      <c r="N211" s="39"/>
      <c r="O211" s="39"/>
      <c r="P211" s="40"/>
      <c r="Q211" s="67"/>
      <c r="R211" s="43"/>
      <c r="S211" s="39"/>
      <c r="T211" s="39"/>
      <c r="U211" s="39"/>
      <c r="V211" s="39"/>
      <c r="W211" s="45"/>
      <c r="X211" s="47"/>
      <c r="Y211" s="39"/>
      <c r="Z211" s="39"/>
      <c r="AA211" s="32"/>
      <c r="AB211" s="32"/>
      <c r="AC211" s="32"/>
      <c r="AD211" s="32"/>
      <c r="AE211" s="32"/>
    </row>
    <row r="212" spans="1:3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71"/>
      <c r="L212" s="61"/>
      <c r="M212" s="39"/>
      <c r="N212" s="39"/>
      <c r="O212" s="39"/>
      <c r="P212" s="40"/>
      <c r="Q212" s="67"/>
      <c r="R212" s="43"/>
      <c r="S212" s="39"/>
      <c r="T212" s="39"/>
      <c r="U212" s="39"/>
      <c r="V212" s="39"/>
      <c r="W212" s="45"/>
      <c r="X212" s="47"/>
      <c r="Y212" s="39"/>
      <c r="Z212" s="39"/>
      <c r="AA212" s="32"/>
      <c r="AB212" s="32"/>
      <c r="AC212" s="32"/>
      <c r="AD212" s="32"/>
      <c r="AE212" s="32"/>
    </row>
    <row r="213" spans="1:3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71"/>
      <c r="L213" s="61"/>
      <c r="M213" s="39"/>
      <c r="N213" s="39"/>
      <c r="O213" s="39"/>
      <c r="P213" s="40"/>
      <c r="Q213" s="67"/>
      <c r="R213" s="43"/>
      <c r="S213" s="39"/>
      <c r="T213" s="39"/>
      <c r="U213" s="39"/>
      <c r="V213" s="39"/>
      <c r="W213" s="45"/>
      <c r="X213" s="47"/>
      <c r="Y213" s="39"/>
      <c r="Z213" s="39"/>
      <c r="AA213" s="32"/>
      <c r="AB213" s="32"/>
      <c r="AC213" s="32"/>
      <c r="AD213" s="32"/>
      <c r="AE213" s="32"/>
    </row>
    <row r="214" spans="1:3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71"/>
      <c r="L214" s="61"/>
      <c r="M214" s="39"/>
      <c r="N214" s="39"/>
      <c r="O214" s="39"/>
      <c r="P214" s="40"/>
      <c r="Q214" s="67"/>
      <c r="R214" s="43"/>
      <c r="S214" s="39"/>
      <c r="T214" s="39"/>
      <c r="U214" s="39"/>
      <c r="V214" s="39"/>
      <c r="W214" s="45"/>
      <c r="X214" s="47"/>
      <c r="Y214" s="39"/>
      <c r="Z214" s="39"/>
      <c r="AA214" s="32"/>
      <c r="AB214" s="32"/>
      <c r="AC214" s="32"/>
      <c r="AD214" s="32"/>
      <c r="AE214" s="32"/>
    </row>
    <row r="215" spans="1:31">
      <c r="K215" s="73"/>
      <c r="M215" s="70"/>
      <c r="P215" s="70"/>
      <c r="Q215" s="69"/>
      <c r="W215" s="74"/>
      <c r="X215" s="70"/>
      <c r="Y215" s="70"/>
      <c r="Z215" s="70"/>
    </row>
    <row r="216" spans="1:3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71"/>
      <c r="L216" s="61"/>
      <c r="M216" s="39"/>
      <c r="N216" s="39"/>
      <c r="O216" s="39"/>
      <c r="P216" s="40"/>
      <c r="Q216" s="67"/>
      <c r="R216" s="43"/>
      <c r="S216" s="39"/>
      <c r="T216" s="39"/>
      <c r="U216" s="39"/>
      <c r="V216" s="39"/>
      <c r="W216" s="45"/>
      <c r="X216" s="47"/>
      <c r="Y216" s="39"/>
      <c r="Z216" s="41"/>
      <c r="AA216" s="32"/>
      <c r="AB216" s="32"/>
      <c r="AC216" s="32"/>
      <c r="AD216" s="32"/>
      <c r="AE216" s="32"/>
    </row>
    <row r="217" spans="1:3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71"/>
      <c r="L217" s="61"/>
      <c r="M217" s="39"/>
      <c r="N217" s="39"/>
      <c r="O217" s="39"/>
      <c r="P217" s="40"/>
      <c r="Q217" s="67"/>
      <c r="R217" s="43"/>
      <c r="S217" s="39"/>
      <c r="T217" s="39"/>
      <c r="U217" s="39"/>
      <c r="V217" s="39"/>
      <c r="W217" s="45"/>
      <c r="X217" s="47"/>
      <c r="Y217" s="39"/>
      <c r="Z217" s="41"/>
      <c r="AA217" s="32"/>
      <c r="AB217" s="32"/>
      <c r="AC217" s="32"/>
      <c r="AD217" s="32"/>
      <c r="AE217" s="32"/>
    </row>
    <row r="218" spans="1:3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71"/>
      <c r="L218" s="61"/>
      <c r="M218" s="39"/>
      <c r="N218" s="39"/>
      <c r="O218" s="39"/>
      <c r="P218" s="40"/>
      <c r="Q218" s="67"/>
      <c r="R218" s="43"/>
      <c r="S218" s="39"/>
      <c r="T218" s="39"/>
      <c r="U218" s="39"/>
      <c r="V218" s="39"/>
      <c r="W218" s="45"/>
      <c r="X218" s="47"/>
      <c r="Y218" s="39"/>
      <c r="Z218" s="41"/>
      <c r="AA218" s="32"/>
      <c r="AB218" s="32"/>
      <c r="AC218" s="32"/>
      <c r="AD218" s="32"/>
      <c r="AE218" s="32"/>
    </row>
    <row r="219" spans="1:3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72"/>
      <c r="L219" s="60"/>
      <c r="M219" s="37"/>
      <c r="N219" s="37"/>
      <c r="O219" s="37"/>
      <c r="P219" s="38"/>
      <c r="Q219" s="68"/>
      <c r="R219" s="42"/>
      <c r="S219" s="37"/>
      <c r="T219" s="37"/>
      <c r="U219" s="37"/>
      <c r="V219" s="37"/>
      <c r="W219" s="45"/>
      <c r="X219" s="47"/>
      <c r="Y219" s="39"/>
      <c r="Z219" s="39"/>
      <c r="AA219" s="33"/>
      <c r="AB219" s="33"/>
      <c r="AC219" s="33"/>
      <c r="AD219" s="33"/>
      <c r="AE219" s="33"/>
    </row>
    <row r="220" spans="1:3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71"/>
      <c r="L220" s="61"/>
      <c r="M220" s="39"/>
      <c r="N220" s="39"/>
      <c r="O220" s="39"/>
      <c r="P220" s="40"/>
      <c r="Q220" s="67"/>
      <c r="R220" s="43"/>
      <c r="S220" s="39"/>
      <c r="T220" s="39"/>
      <c r="U220" s="39"/>
      <c r="V220" s="39"/>
      <c r="W220" s="45"/>
      <c r="X220" s="47"/>
      <c r="Y220" s="39"/>
      <c r="Z220" s="39"/>
      <c r="AA220" s="32"/>
      <c r="AB220" s="32"/>
      <c r="AC220" s="32"/>
      <c r="AD220" s="32"/>
      <c r="AE220" s="32"/>
    </row>
    <row r="221" spans="1:3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71"/>
      <c r="L221" s="61"/>
      <c r="M221" s="39"/>
      <c r="N221" s="39"/>
      <c r="O221" s="39"/>
      <c r="P221" s="40"/>
      <c r="Q221" s="67"/>
      <c r="R221" s="43"/>
      <c r="S221" s="39"/>
      <c r="T221" s="39"/>
      <c r="U221" s="39"/>
      <c r="V221" s="39"/>
      <c r="W221" s="45"/>
      <c r="X221" s="47"/>
      <c r="Y221" s="39"/>
      <c r="Z221" s="39"/>
      <c r="AA221" s="32"/>
      <c r="AB221" s="32"/>
      <c r="AC221" s="32"/>
      <c r="AD221" s="32"/>
      <c r="AE221" s="32"/>
    </row>
    <row r="222" spans="1:3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71"/>
      <c r="L222" s="61"/>
      <c r="M222" s="39"/>
      <c r="N222" s="39"/>
      <c r="O222" s="39"/>
      <c r="P222" s="40"/>
      <c r="Q222" s="67"/>
      <c r="R222" s="43"/>
      <c r="S222" s="39"/>
      <c r="T222" s="39"/>
      <c r="U222" s="39"/>
      <c r="V222" s="39"/>
      <c r="W222" s="45"/>
      <c r="X222" s="47"/>
      <c r="Y222" s="39"/>
      <c r="Z222" s="39"/>
      <c r="AA222" s="32"/>
      <c r="AB222" s="32"/>
      <c r="AC222" s="32"/>
      <c r="AD222" s="32"/>
      <c r="AE222" s="32"/>
    </row>
    <row r="223" spans="1:3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71"/>
      <c r="L223" s="61"/>
      <c r="M223" s="39"/>
      <c r="N223" s="39"/>
      <c r="O223" s="39"/>
      <c r="P223" s="40"/>
      <c r="Q223" s="67"/>
      <c r="R223" s="43"/>
      <c r="S223" s="39"/>
      <c r="T223" s="39"/>
      <c r="U223" s="39"/>
      <c r="V223" s="39"/>
      <c r="W223" s="45"/>
      <c r="X223" s="47"/>
      <c r="Y223" s="39"/>
      <c r="Z223" s="39"/>
      <c r="AA223" s="32"/>
      <c r="AB223" s="32"/>
      <c r="AC223" s="32"/>
      <c r="AD223" s="32"/>
      <c r="AE223" s="32"/>
    </row>
    <row r="224" spans="1:31">
      <c r="K224" s="73"/>
      <c r="M224" s="70"/>
      <c r="Q224" s="69"/>
    </row>
    <row r="225" spans="1:3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71"/>
      <c r="L225" s="61"/>
      <c r="M225" s="39"/>
      <c r="N225" s="39"/>
      <c r="O225" s="39"/>
      <c r="P225" s="40"/>
      <c r="Q225" s="67"/>
      <c r="R225" s="43"/>
      <c r="S225" s="39"/>
      <c r="T225" s="39"/>
      <c r="U225" s="39"/>
      <c r="V225" s="39"/>
      <c r="W225" s="45"/>
      <c r="X225" s="47"/>
      <c r="Y225" s="39"/>
      <c r="Z225" s="41"/>
      <c r="AA225" s="32"/>
      <c r="AB225" s="32"/>
      <c r="AC225" s="32"/>
      <c r="AD225" s="32"/>
      <c r="AE225" s="32"/>
    </row>
    <row r="226" spans="1:3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71"/>
      <c r="L226" s="61"/>
      <c r="M226" s="39"/>
      <c r="N226" s="39"/>
      <c r="O226" s="39"/>
      <c r="P226" s="40"/>
      <c r="Q226" s="67"/>
      <c r="R226" s="43"/>
      <c r="S226" s="39"/>
      <c r="T226" s="39"/>
      <c r="U226" s="39"/>
      <c r="V226" s="39"/>
      <c r="W226" s="45"/>
      <c r="X226" s="47"/>
      <c r="Y226" s="39"/>
      <c r="Z226" s="41"/>
      <c r="AA226" s="32"/>
      <c r="AB226" s="32"/>
      <c r="AC226" s="32"/>
      <c r="AD226" s="32"/>
      <c r="AE226" s="32"/>
    </row>
    <row r="227" spans="1:3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71"/>
      <c r="L227" s="61"/>
      <c r="M227" s="39"/>
      <c r="N227" s="39"/>
      <c r="O227" s="39"/>
      <c r="P227" s="40"/>
      <c r="Q227" s="67"/>
      <c r="R227" s="43"/>
      <c r="S227" s="39"/>
      <c r="T227" s="39"/>
      <c r="U227" s="39"/>
      <c r="V227" s="39"/>
      <c r="W227" s="45"/>
      <c r="X227" s="47"/>
      <c r="Y227" s="39"/>
      <c r="Z227" s="41"/>
      <c r="AA227" s="32"/>
      <c r="AB227" s="32"/>
      <c r="AC227" s="32"/>
      <c r="AD227" s="32"/>
      <c r="AE227" s="32"/>
    </row>
    <row r="228" spans="1:3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72"/>
      <c r="L228" s="60"/>
      <c r="M228" s="37"/>
      <c r="N228" s="37"/>
      <c r="O228" s="37"/>
      <c r="P228" s="38"/>
      <c r="Q228" s="68"/>
      <c r="R228" s="42"/>
      <c r="S228" s="37"/>
      <c r="T228" s="37"/>
      <c r="U228" s="37"/>
      <c r="V228" s="37"/>
      <c r="W228" s="45"/>
      <c r="X228" s="47"/>
      <c r="Y228" s="39"/>
      <c r="Z228" s="39"/>
      <c r="AA228" s="33"/>
      <c r="AB228" s="33"/>
      <c r="AC228" s="33"/>
      <c r="AD228" s="33"/>
      <c r="AE228" s="33"/>
    </row>
    <row r="229" spans="1:3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71"/>
      <c r="L229" s="61"/>
      <c r="M229" s="39"/>
      <c r="N229" s="39"/>
      <c r="O229" s="39"/>
      <c r="P229" s="40"/>
      <c r="Q229" s="67"/>
      <c r="R229" s="43"/>
      <c r="S229" s="39"/>
      <c r="T229" s="39"/>
      <c r="U229" s="39"/>
      <c r="V229" s="39"/>
      <c r="W229" s="45"/>
      <c r="X229" s="47"/>
      <c r="Y229" s="39"/>
      <c r="Z229" s="39"/>
      <c r="AA229" s="32"/>
      <c r="AB229" s="32"/>
      <c r="AC229" s="32"/>
      <c r="AD229" s="32"/>
      <c r="AE229" s="32"/>
    </row>
    <row r="230" spans="1:3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71"/>
      <c r="L230" s="61"/>
      <c r="M230" s="39"/>
      <c r="N230" s="39"/>
      <c r="O230" s="39"/>
      <c r="P230" s="40"/>
      <c r="Q230" s="67"/>
      <c r="R230" s="43"/>
      <c r="S230" s="39"/>
      <c r="T230" s="39"/>
      <c r="U230" s="39"/>
      <c r="V230" s="39"/>
      <c r="W230" s="45"/>
      <c r="X230" s="47"/>
      <c r="Y230" s="39"/>
      <c r="Z230" s="39"/>
      <c r="AA230" s="32"/>
      <c r="AB230" s="32"/>
      <c r="AC230" s="32"/>
      <c r="AD230" s="32"/>
      <c r="AE230" s="32"/>
    </row>
    <row r="231" spans="1: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71"/>
      <c r="L231" s="61"/>
      <c r="M231" s="39"/>
      <c r="N231" s="39"/>
      <c r="O231" s="39"/>
      <c r="P231" s="40"/>
      <c r="Q231" s="67"/>
      <c r="R231" s="43"/>
      <c r="S231" s="39"/>
      <c r="T231" s="39"/>
      <c r="U231" s="39"/>
      <c r="V231" s="39"/>
      <c r="W231" s="45"/>
      <c r="X231" s="47"/>
      <c r="Y231" s="39"/>
      <c r="Z231" s="39"/>
      <c r="AA231" s="32"/>
      <c r="AB231" s="32"/>
      <c r="AC231" s="32"/>
      <c r="AD231" s="32"/>
      <c r="AE231" s="32"/>
    </row>
    <row r="232" spans="1:3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71"/>
      <c r="L232" s="61"/>
      <c r="M232" s="39"/>
      <c r="N232" s="39"/>
      <c r="O232" s="39"/>
      <c r="P232" s="40"/>
      <c r="Q232" s="67"/>
      <c r="R232" s="43"/>
      <c r="S232" s="39"/>
      <c r="T232" s="39"/>
      <c r="U232" s="39"/>
      <c r="V232" s="39"/>
      <c r="W232" s="45"/>
      <c r="X232" s="47"/>
      <c r="Y232" s="39"/>
      <c r="Z232" s="39"/>
      <c r="AA232" s="32"/>
      <c r="AB232" s="32"/>
      <c r="AC232" s="32"/>
      <c r="AD232" s="32"/>
      <c r="AE232" s="32"/>
    </row>
    <row r="233" spans="1:31">
      <c r="K233" s="73"/>
      <c r="M233" s="70"/>
      <c r="P233" s="70"/>
      <c r="Q233" s="69"/>
      <c r="X233" s="70"/>
      <c r="Y233" s="70"/>
      <c r="Z233" s="70"/>
    </row>
    <row r="234" spans="1:3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71"/>
      <c r="L234" s="61"/>
      <c r="M234" s="39"/>
      <c r="N234" s="39"/>
      <c r="O234" s="39"/>
      <c r="P234" s="40"/>
      <c r="Q234" s="67"/>
      <c r="R234" s="43"/>
      <c r="S234" s="39"/>
      <c r="T234" s="39"/>
      <c r="U234" s="39"/>
      <c r="V234" s="39"/>
      <c r="W234" s="45"/>
      <c r="X234" s="47"/>
      <c r="Y234" s="39"/>
      <c r="Z234" s="41"/>
      <c r="AA234" s="32"/>
      <c r="AB234" s="32"/>
      <c r="AC234" s="32"/>
      <c r="AD234" s="32"/>
      <c r="AE234" s="32"/>
    </row>
    <row r="235" spans="1:3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71"/>
      <c r="L235" s="61"/>
      <c r="M235" s="39"/>
      <c r="N235" s="39"/>
      <c r="O235" s="39"/>
      <c r="P235" s="40"/>
      <c r="Q235" s="67"/>
      <c r="R235" s="43"/>
      <c r="S235" s="39"/>
      <c r="T235" s="39"/>
      <c r="U235" s="39"/>
      <c r="V235" s="39"/>
      <c r="W235" s="45"/>
      <c r="X235" s="47"/>
      <c r="Y235" s="39"/>
      <c r="Z235" s="41"/>
      <c r="AA235" s="32"/>
      <c r="AB235" s="32"/>
      <c r="AC235" s="32"/>
      <c r="AD235" s="32"/>
      <c r="AE235" s="32"/>
    </row>
    <row r="236" spans="1:3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71"/>
      <c r="L236" s="61"/>
      <c r="M236" s="39"/>
      <c r="N236" s="39"/>
      <c r="O236" s="39"/>
      <c r="P236" s="40"/>
      <c r="Q236" s="67"/>
      <c r="R236" s="43"/>
      <c r="S236" s="39"/>
      <c r="T236" s="39"/>
      <c r="U236" s="39"/>
      <c r="V236" s="39"/>
      <c r="W236" s="45"/>
      <c r="X236" s="47"/>
      <c r="Y236" s="39"/>
      <c r="Z236" s="41"/>
      <c r="AA236" s="32"/>
      <c r="AB236" s="32"/>
      <c r="AC236" s="32"/>
      <c r="AD236" s="32"/>
      <c r="AE236" s="32"/>
    </row>
    <row r="237" spans="1:3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72"/>
      <c r="L237" s="60"/>
      <c r="M237" s="37"/>
      <c r="N237" s="37"/>
      <c r="O237" s="37"/>
      <c r="P237" s="38"/>
      <c r="Q237" s="68"/>
      <c r="R237" s="42"/>
      <c r="S237" s="37"/>
      <c r="T237" s="37"/>
      <c r="U237" s="37"/>
      <c r="V237" s="37"/>
      <c r="W237" s="45"/>
      <c r="X237" s="47"/>
      <c r="Y237" s="39"/>
      <c r="Z237" s="39"/>
      <c r="AA237" s="33"/>
      <c r="AB237" s="33"/>
      <c r="AC237" s="33"/>
      <c r="AD237" s="33"/>
      <c r="AE237" s="33"/>
    </row>
    <row r="238" spans="1:3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71"/>
      <c r="L238" s="61"/>
      <c r="M238" s="39"/>
      <c r="N238" s="39"/>
      <c r="O238" s="39"/>
      <c r="P238" s="40"/>
      <c r="Q238" s="67"/>
      <c r="R238" s="43"/>
      <c r="S238" s="39"/>
      <c r="T238" s="39"/>
      <c r="U238" s="39"/>
      <c r="V238" s="39"/>
      <c r="W238" s="45"/>
      <c r="X238" s="47"/>
      <c r="Y238" s="39"/>
      <c r="Z238" s="39"/>
      <c r="AA238" s="32"/>
      <c r="AB238" s="32"/>
      <c r="AC238" s="32"/>
      <c r="AD238" s="32"/>
      <c r="AE238" s="32"/>
    </row>
    <row r="239" spans="1:3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71"/>
      <c r="L239" s="61"/>
      <c r="M239" s="39"/>
      <c r="N239" s="39"/>
      <c r="O239" s="39"/>
      <c r="P239" s="40"/>
      <c r="Q239" s="67"/>
      <c r="R239" s="43"/>
      <c r="S239" s="39"/>
      <c r="T239" s="39"/>
      <c r="U239" s="39"/>
      <c r="V239" s="39"/>
      <c r="W239" s="45"/>
      <c r="X239" s="47"/>
      <c r="Y239" s="39"/>
      <c r="Z239" s="39"/>
      <c r="AA239" s="32"/>
      <c r="AB239" s="32"/>
      <c r="AC239" s="32"/>
      <c r="AD239" s="32"/>
      <c r="AE239" s="32"/>
    </row>
    <row r="240" spans="1:3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71"/>
      <c r="L240" s="61"/>
      <c r="M240" s="39"/>
      <c r="N240" s="39"/>
      <c r="O240" s="39"/>
      <c r="P240" s="40"/>
      <c r="Q240" s="67"/>
      <c r="R240" s="43"/>
      <c r="S240" s="39"/>
      <c r="T240" s="39"/>
      <c r="U240" s="39"/>
      <c r="V240" s="39"/>
      <c r="W240" s="45"/>
      <c r="X240" s="47"/>
      <c r="Y240" s="39"/>
      <c r="Z240" s="39"/>
      <c r="AA240" s="32"/>
      <c r="AB240" s="32"/>
      <c r="AC240" s="32"/>
      <c r="AD240" s="32"/>
      <c r="AE240" s="32"/>
    </row>
    <row r="241" spans="1:3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71"/>
      <c r="L241" s="61"/>
      <c r="M241" s="39"/>
      <c r="N241" s="39"/>
      <c r="O241" s="39"/>
      <c r="P241" s="40"/>
      <c r="Q241" s="67"/>
      <c r="R241" s="43"/>
      <c r="S241" s="39"/>
      <c r="T241" s="39"/>
      <c r="U241" s="39"/>
      <c r="V241" s="39"/>
      <c r="W241" s="45"/>
      <c r="X241" s="47"/>
      <c r="Y241" s="39"/>
      <c r="Z241" s="39"/>
      <c r="AA241" s="32"/>
      <c r="AB241" s="32"/>
      <c r="AC241" s="32"/>
      <c r="AD241" s="32"/>
      <c r="AE241" s="32"/>
    </row>
    <row r="242" spans="1:31">
      <c r="K242" s="73"/>
      <c r="M242" s="70"/>
      <c r="Q242" s="69"/>
    </row>
    <row r="243" spans="1:3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71"/>
      <c r="L243" s="61"/>
      <c r="M243" s="39"/>
      <c r="N243" s="39"/>
      <c r="O243" s="39"/>
      <c r="P243" s="40"/>
      <c r="Q243" s="67"/>
      <c r="R243" s="43"/>
      <c r="S243" s="39"/>
      <c r="T243" s="39"/>
      <c r="U243" s="39"/>
      <c r="V243" s="39"/>
      <c r="W243" s="45"/>
      <c r="X243" s="47"/>
      <c r="Y243" s="39"/>
      <c r="Z243" s="41"/>
      <c r="AA243" s="32"/>
      <c r="AB243" s="32"/>
      <c r="AC243" s="32"/>
      <c r="AD243" s="32"/>
      <c r="AE243" s="32"/>
    </row>
    <row r="244" spans="1:3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71"/>
      <c r="L244" s="61"/>
      <c r="M244" s="39"/>
      <c r="N244" s="39"/>
      <c r="O244" s="39"/>
      <c r="P244" s="40"/>
      <c r="Q244" s="67"/>
      <c r="R244" s="43"/>
      <c r="S244" s="39"/>
      <c r="T244" s="39"/>
      <c r="U244" s="39"/>
      <c r="V244" s="39"/>
      <c r="W244" s="45"/>
      <c r="X244" s="47"/>
      <c r="Y244" s="39"/>
      <c r="Z244" s="41"/>
      <c r="AA244" s="32"/>
      <c r="AB244" s="32"/>
      <c r="AC244" s="32"/>
      <c r="AD244" s="32"/>
      <c r="AE244" s="32"/>
    </row>
    <row r="245" spans="1:3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71"/>
      <c r="L245" s="61"/>
      <c r="M245" s="39"/>
      <c r="N245" s="39"/>
      <c r="O245" s="39"/>
      <c r="P245" s="40"/>
      <c r="Q245" s="67"/>
      <c r="R245" s="43"/>
      <c r="S245" s="39"/>
      <c r="T245" s="39"/>
      <c r="U245" s="39"/>
      <c r="V245" s="39"/>
      <c r="W245" s="45"/>
      <c r="X245" s="47"/>
      <c r="Y245" s="39"/>
      <c r="Z245" s="41"/>
      <c r="AA245" s="32"/>
      <c r="AB245" s="32"/>
      <c r="AC245" s="32"/>
      <c r="AD245" s="32"/>
      <c r="AE245" s="32"/>
    </row>
    <row r="246" spans="1:3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72"/>
      <c r="L246" s="60"/>
      <c r="M246" s="37"/>
      <c r="N246" s="37"/>
      <c r="O246" s="37"/>
      <c r="P246" s="38"/>
      <c r="Q246" s="68"/>
      <c r="R246" s="42"/>
      <c r="S246" s="37"/>
      <c r="T246" s="37"/>
      <c r="U246" s="37"/>
      <c r="V246" s="37"/>
      <c r="W246" s="45"/>
      <c r="X246" s="47"/>
      <c r="Y246" s="39"/>
      <c r="Z246" s="39"/>
      <c r="AA246" s="33"/>
      <c r="AB246" s="33"/>
      <c r="AC246" s="33"/>
      <c r="AD246" s="33"/>
      <c r="AE246" s="33"/>
    </row>
    <row r="247" spans="1:3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71"/>
      <c r="L247" s="61"/>
      <c r="M247" s="39"/>
      <c r="N247" s="39"/>
      <c r="O247" s="39"/>
      <c r="P247" s="40"/>
      <c r="Q247" s="67"/>
      <c r="R247" s="43"/>
      <c r="S247" s="39"/>
      <c r="T247" s="39"/>
      <c r="U247" s="39"/>
      <c r="V247" s="39"/>
      <c r="W247" s="45"/>
      <c r="X247" s="47"/>
      <c r="Y247" s="39"/>
      <c r="Z247" s="39"/>
      <c r="AA247" s="32"/>
      <c r="AB247" s="32"/>
      <c r="AC247" s="32"/>
      <c r="AD247" s="32"/>
      <c r="AE247" s="32"/>
    </row>
    <row r="248" spans="1:3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71"/>
      <c r="L248" s="61"/>
      <c r="M248" s="39"/>
      <c r="N248" s="39"/>
      <c r="O248" s="39"/>
      <c r="P248" s="40"/>
      <c r="Q248" s="67"/>
      <c r="R248" s="43"/>
      <c r="S248" s="39"/>
      <c r="T248" s="39"/>
      <c r="U248" s="39"/>
      <c r="V248" s="39"/>
      <c r="W248" s="45"/>
      <c r="X248" s="47"/>
      <c r="Y248" s="39"/>
      <c r="Z248" s="39"/>
      <c r="AA248" s="32"/>
      <c r="AB248" s="32"/>
      <c r="AC248" s="32"/>
      <c r="AD248" s="32"/>
      <c r="AE248" s="32"/>
    </row>
    <row r="249" spans="1:3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71"/>
      <c r="L249" s="61"/>
      <c r="M249" s="39"/>
      <c r="N249" s="39"/>
      <c r="O249" s="39"/>
      <c r="P249" s="40"/>
      <c r="Q249" s="67"/>
      <c r="R249" s="43"/>
      <c r="S249" s="39"/>
      <c r="T249" s="39"/>
      <c r="U249" s="39"/>
      <c r="V249" s="39"/>
      <c r="W249" s="45"/>
      <c r="X249" s="47"/>
      <c r="Y249" s="39"/>
      <c r="Z249" s="39"/>
      <c r="AA249" s="32"/>
      <c r="AB249" s="32"/>
      <c r="AC249" s="32"/>
      <c r="AD249" s="32"/>
      <c r="AE249" s="32"/>
    </row>
    <row r="250" spans="1:3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71"/>
      <c r="L250" s="61"/>
      <c r="M250" s="39"/>
      <c r="N250" s="39"/>
      <c r="O250" s="39"/>
      <c r="P250" s="40"/>
      <c r="Q250" s="67"/>
      <c r="R250" s="43"/>
      <c r="S250" s="39"/>
      <c r="T250" s="39"/>
      <c r="U250" s="39"/>
      <c r="V250" s="39"/>
      <c r="W250" s="45"/>
      <c r="X250" s="47"/>
      <c r="Y250" s="39"/>
      <c r="Z250" s="39"/>
      <c r="AA250" s="32"/>
      <c r="AB250" s="32"/>
      <c r="AC250" s="32"/>
      <c r="AD250" s="32"/>
      <c r="AE250" s="32"/>
    </row>
    <row r="251" spans="1:31">
      <c r="K251" s="73"/>
      <c r="M251" s="70"/>
      <c r="Q251" s="69"/>
      <c r="Y251" s="70"/>
      <c r="Z251" s="70"/>
    </row>
    <row r="252" spans="1:3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71"/>
      <c r="L252" s="61"/>
      <c r="M252" s="39"/>
      <c r="N252" s="39"/>
      <c r="O252" s="39"/>
      <c r="P252" s="40"/>
      <c r="Q252" s="67"/>
      <c r="R252" s="43"/>
      <c r="S252" s="39"/>
      <c r="T252" s="39"/>
      <c r="U252" s="39"/>
      <c r="V252" s="39"/>
      <c r="W252" s="45"/>
      <c r="X252" s="47"/>
      <c r="Y252" s="39"/>
      <c r="Z252" s="41"/>
      <c r="AA252" s="32"/>
      <c r="AB252" s="32"/>
      <c r="AC252" s="32"/>
      <c r="AD252" s="32"/>
      <c r="AE252" s="32"/>
    </row>
    <row r="253" spans="1:3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71"/>
      <c r="L253" s="61"/>
      <c r="M253" s="39"/>
      <c r="N253" s="39"/>
      <c r="O253" s="39"/>
      <c r="P253" s="40"/>
      <c r="Q253" s="67"/>
      <c r="R253" s="43"/>
      <c r="S253" s="39"/>
      <c r="T253" s="39"/>
      <c r="U253" s="39"/>
      <c r="V253" s="39"/>
      <c r="W253" s="45"/>
      <c r="X253" s="47"/>
      <c r="Y253" s="39"/>
      <c r="Z253" s="41"/>
      <c r="AA253" s="32"/>
      <c r="AB253" s="32"/>
      <c r="AC253" s="32"/>
      <c r="AD253" s="32"/>
      <c r="AE253" s="32"/>
    </row>
    <row r="254" spans="1:3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71"/>
      <c r="L254" s="61"/>
      <c r="M254" s="39"/>
      <c r="N254" s="39"/>
      <c r="O254" s="39"/>
      <c r="P254" s="40"/>
      <c r="Q254" s="67"/>
      <c r="R254" s="43"/>
      <c r="S254" s="39"/>
      <c r="T254" s="39"/>
      <c r="U254" s="39"/>
      <c r="V254" s="39"/>
      <c r="W254" s="45"/>
      <c r="X254" s="47"/>
      <c r="Y254" s="39"/>
      <c r="Z254" s="41"/>
      <c r="AA254" s="32"/>
      <c r="AB254" s="32"/>
      <c r="AC254" s="32"/>
      <c r="AD254" s="32"/>
      <c r="AE254" s="32"/>
    </row>
    <row r="255" spans="1:3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72"/>
      <c r="L255" s="60"/>
      <c r="M255" s="37"/>
      <c r="N255" s="37"/>
      <c r="O255" s="37"/>
      <c r="P255" s="38"/>
      <c r="Q255" s="68"/>
      <c r="R255" s="42"/>
      <c r="S255" s="37"/>
      <c r="T255" s="37"/>
      <c r="U255" s="37"/>
      <c r="V255" s="37"/>
      <c r="W255" s="45"/>
      <c r="X255" s="47"/>
      <c r="Y255" s="39"/>
      <c r="Z255" s="39"/>
      <c r="AA255" s="33"/>
      <c r="AB255" s="33"/>
      <c r="AC255" s="33"/>
      <c r="AD255" s="33"/>
      <c r="AE255" s="33"/>
    </row>
    <row r="256" spans="1:3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71"/>
      <c r="L256" s="61"/>
      <c r="M256" s="39"/>
      <c r="N256" s="39"/>
      <c r="O256" s="39"/>
      <c r="P256" s="40"/>
      <c r="Q256" s="67"/>
      <c r="R256" s="43"/>
      <c r="S256" s="39"/>
      <c r="T256" s="39"/>
      <c r="U256" s="39"/>
      <c r="V256" s="39"/>
      <c r="W256" s="45"/>
      <c r="X256" s="47"/>
      <c r="Y256" s="39"/>
      <c r="Z256" s="39"/>
      <c r="AA256" s="32"/>
      <c r="AB256" s="32"/>
      <c r="AC256" s="32"/>
      <c r="AD256" s="32"/>
      <c r="AE256" s="32"/>
    </row>
    <row r="257" spans="1:3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71"/>
      <c r="L257" s="61"/>
      <c r="M257" s="39"/>
      <c r="N257" s="39"/>
      <c r="O257" s="39"/>
      <c r="P257" s="40"/>
      <c r="Q257" s="67"/>
      <c r="R257" s="43"/>
      <c r="S257" s="39"/>
      <c r="T257" s="39"/>
      <c r="U257" s="39"/>
      <c r="V257" s="39"/>
      <c r="W257" s="45"/>
      <c r="X257" s="47"/>
      <c r="Y257" s="39"/>
      <c r="Z257" s="39"/>
      <c r="AA257" s="32"/>
      <c r="AB257" s="32"/>
      <c r="AC257" s="32"/>
      <c r="AD257" s="32"/>
      <c r="AE257" s="32"/>
    </row>
    <row r="258" spans="1:3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71"/>
      <c r="L258" s="61"/>
      <c r="M258" s="39"/>
      <c r="N258" s="39"/>
      <c r="O258" s="39"/>
      <c r="P258" s="40"/>
      <c r="Q258" s="67"/>
      <c r="R258" s="43"/>
      <c r="S258" s="39"/>
      <c r="T258" s="39"/>
      <c r="U258" s="39"/>
      <c r="V258" s="39"/>
      <c r="W258" s="45"/>
      <c r="X258" s="47"/>
      <c r="Y258" s="39"/>
      <c r="Z258" s="39"/>
      <c r="AA258" s="32"/>
      <c r="AB258" s="32"/>
      <c r="AC258" s="32"/>
      <c r="AD258" s="32"/>
      <c r="AE258" s="32"/>
    </row>
    <row r="259" spans="1:3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71"/>
      <c r="L259" s="61"/>
      <c r="M259" s="39"/>
      <c r="N259" s="39"/>
      <c r="O259" s="39"/>
      <c r="P259" s="40"/>
      <c r="Q259" s="67"/>
      <c r="R259" s="43"/>
      <c r="S259" s="39"/>
      <c r="T259" s="39"/>
      <c r="U259" s="39"/>
      <c r="V259" s="39"/>
      <c r="W259" s="45"/>
      <c r="X259" s="47"/>
      <c r="Y259" s="39"/>
      <c r="Z259" s="39"/>
      <c r="AA259" s="32"/>
      <c r="AB259" s="32"/>
      <c r="AC259" s="32"/>
      <c r="AD259" s="32"/>
      <c r="AE259" s="32"/>
    </row>
    <row r="260" spans="1:31">
      <c r="K260" s="73"/>
      <c r="M260" s="70"/>
      <c r="Q260" s="69"/>
    </row>
    <row r="261" spans="1:3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71"/>
      <c r="L261" s="61"/>
      <c r="M261" s="39"/>
      <c r="N261" s="39"/>
      <c r="O261" s="39"/>
      <c r="P261" s="40"/>
      <c r="Q261" s="67"/>
      <c r="R261" s="43"/>
      <c r="S261" s="39"/>
      <c r="T261" s="39"/>
      <c r="U261" s="39"/>
      <c r="V261" s="39"/>
      <c r="W261" s="45"/>
      <c r="X261" s="47"/>
      <c r="Y261" s="39"/>
      <c r="Z261" s="41"/>
      <c r="AA261" s="32"/>
      <c r="AB261" s="32"/>
      <c r="AC261" s="32"/>
      <c r="AD261" s="32"/>
      <c r="AE261" s="32"/>
    </row>
    <row r="262" spans="1:3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71"/>
      <c r="L262" s="61"/>
      <c r="M262" s="39"/>
      <c r="N262" s="39"/>
      <c r="O262" s="39"/>
      <c r="P262" s="40"/>
      <c r="Q262" s="67"/>
      <c r="R262" s="43"/>
      <c r="S262" s="39"/>
      <c r="T262" s="39"/>
      <c r="U262" s="39"/>
      <c r="V262" s="39"/>
      <c r="W262" s="45"/>
      <c r="X262" s="47"/>
      <c r="Y262" s="39"/>
      <c r="Z262" s="41"/>
      <c r="AA262" s="32"/>
      <c r="AB262" s="32"/>
      <c r="AC262" s="32"/>
      <c r="AD262" s="32"/>
      <c r="AE262" s="32"/>
    </row>
    <row r="263" spans="1:3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71"/>
      <c r="L263" s="61"/>
      <c r="M263" s="39"/>
      <c r="N263" s="39"/>
      <c r="O263" s="39"/>
      <c r="P263" s="40"/>
      <c r="Q263" s="67"/>
      <c r="R263" s="43"/>
      <c r="S263" s="39"/>
      <c r="T263" s="39"/>
      <c r="U263" s="39"/>
      <c r="V263" s="39"/>
      <c r="W263" s="45"/>
      <c r="X263" s="47"/>
      <c r="Y263" s="39"/>
      <c r="Z263" s="41"/>
      <c r="AA263" s="32"/>
      <c r="AB263" s="32"/>
      <c r="AC263" s="32"/>
      <c r="AD263" s="32"/>
      <c r="AE263" s="32"/>
    </row>
    <row r="264" spans="1:3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72"/>
      <c r="L264" s="60"/>
      <c r="M264" s="37"/>
      <c r="N264" s="37"/>
      <c r="O264" s="37"/>
      <c r="P264" s="38"/>
      <c r="Q264" s="68"/>
      <c r="R264" s="42"/>
      <c r="S264" s="37"/>
      <c r="T264" s="37"/>
      <c r="U264" s="37"/>
      <c r="V264" s="37"/>
      <c r="W264" s="45"/>
      <c r="X264" s="47"/>
      <c r="Y264" s="39"/>
      <c r="Z264" s="39"/>
      <c r="AA264" s="33"/>
      <c r="AB264" s="33"/>
      <c r="AC264" s="33"/>
      <c r="AD264" s="33"/>
      <c r="AE264" s="33"/>
    </row>
    <row r="265" spans="1:3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71"/>
      <c r="L265" s="61"/>
      <c r="M265" s="39"/>
      <c r="N265" s="39"/>
      <c r="O265" s="39"/>
      <c r="P265" s="40"/>
      <c r="Q265" s="67"/>
      <c r="R265" s="43"/>
      <c r="S265" s="39"/>
      <c r="T265" s="39"/>
      <c r="U265" s="39"/>
      <c r="V265" s="39"/>
      <c r="W265" s="45"/>
      <c r="X265" s="47"/>
      <c r="Y265" s="39"/>
      <c r="Z265" s="39"/>
      <c r="AA265" s="32"/>
      <c r="AB265" s="32"/>
      <c r="AC265" s="32"/>
      <c r="AD265" s="32"/>
      <c r="AE265" s="32"/>
    </row>
    <row r="266" spans="1:3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71"/>
      <c r="L266" s="61"/>
      <c r="M266" s="39"/>
      <c r="N266" s="39"/>
      <c r="O266" s="39"/>
      <c r="P266" s="40"/>
      <c r="Q266" s="67"/>
      <c r="R266" s="43"/>
      <c r="S266" s="39"/>
      <c r="T266" s="39"/>
      <c r="U266" s="39"/>
      <c r="V266" s="39"/>
      <c r="W266" s="45"/>
      <c r="X266" s="47"/>
      <c r="Y266" s="39"/>
      <c r="Z266" s="39"/>
      <c r="AA266" s="32"/>
      <c r="AB266" s="32"/>
      <c r="AC266" s="32"/>
      <c r="AD266" s="32"/>
      <c r="AE266" s="32"/>
    </row>
    <row r="267" spans="1:3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71"/>
      <c r="L267" s="61"/>
      <c r="M267" s="39"/>
      <c r="N267" s="39"/>
      <c r="O267" s="39"/>
      <c r="P267" s="40"/>
      <c r="Q267" s="67"/>
      <c r="R267" s="43"/>
      <c r="S267" s="39"/>
      <c r="T267" s="39"/>
      <c r="U267" s="39"/>
      <c r="V267" s="39"/>
      <c r="W267" s="45"/>
      <c r="X267" s="47"/>
      <c r="Y267" s="39"/>
      <c r="Z267" s="39"/>
      <c r="AA267" s="32"/>
      <c r="AB267" s="32"/>
      <c r="AC267" s="32"/>
      <c r="AD267" s="32"/>
      <c r="AE267" s="32"/>
    </row>
    <row r="268" spans="1:3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71"/>
      <c r="L268" s="61"/>
      <c r="M268" s="39"/>
      <c r="N268" s="39"/>
      <c r="O268" s="39"/>
      <c r="P268" s="40"/>
      <c r="Q268" s="67"/>
      <c r="R268" s="43"/>
      <c r="S268" s="39"/>
      <c r="T268" s="39"/>
      <c r="U268" s="39"/>
      <c r="V268" s="39"/>
      <c r="W268" s="45"/>
      <c r="X268" s="47"/>
      <c r="Y268" s="39"/>
      <c r="Z268" s="39"/>
      <c r="AA268" s="32"/>
      <c r="AB268" s="32"/>
      <c r="AC268" s="32"/>
      <c r="AD268" s="32"/>
      <c r="AE268" s="32"/>
    </row>
    <row r="269" spans="1:31">
      <c r="K269" s="73"/>
      <c r="M269" s="70"/>
      <c r="P269" s="70"/>
      <c r="Q269" s="69"/>
      <c r="R269" s="70"/>
      <c r="V269" s="70"/>
      <c r="W269" s="74"/>
      <c r="X269" s="70"/>
      <c r="Y269" s="70"/>
      <c r="Z269" s="70"/>
    </row>
    <row r="270" spans="1:3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71"/>
      <c r="L270" s="61"/>
      <c r="M270" s="39"/>
      <c r="N270" s="39"/>
      <c r="O270" s="39"/>
      <c r="P270" s="40"/>
      <c r="Q270" s="67"/>
      <c r="R270" s="43"/>
      <c r="S270" s="39"/>
      <c r="T270" s="39"/>
      <c r="U270" s="39"/>
      <c r="V270" s="39"/>
      <c r="W270" s="45"/>
      <c r="X270" s="47"/>
      <c r="Y270" s="39"/>
      <c r="Z270" s="41"/>
      <c r="AA270" s="32"/>
      <c r="AB270" s="32"/>
      <c r="AC270" s="32"/>
      <c r="AD270" s="32"/>
      <c r="AE270" s="32"/>
    </row>
    <row r="271" spans="1:3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71"/>
      <c r="L271" s="61"/>
      <c r="M271" s="39"/>
      <c r="N271" s="39"/>
      <c r="O271" s="39"/>
      <c r="P271" s="40"/>
      <c r="Q271" s="67"/>
      <c r="R271" s="43"/>
      <c r="S271" s="39"/>
      <c r="T271" s="39"/>
      <c r="U271" s="39"/>
      <c r="V271" s="39"/>
      <c r="W271" s="45"/>
      <c r="X271" s="47"/>
      <c r="Y271" s="39"/>
      <c r="Z271" s="41"/>
      <c r="AA271" s="32"/>
      <c r="AB271" s="32"/>
      <c r="AC271" s="32"/>
      <c r="AD271" s="32"/>
      <c r="AE271" s="32"/>
    </row>
    <row r="272" spans="1:3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71"/>
      <c r="L272" s="61"/>
      <c r="M272" s="39"/>
      <c r="N272" s="39"/>
      <c r="O272" s="39"/>
      <c r="P272" s="40"/>
      <c r="Q272" s="67"/>
      <c r="R272" s="43"/>
      <c r="S272" s="39"/>
      <c r="T272" s="39"/>
      <c r="U272" s="39"/>
      <c r="V272" s="39"/>
      <c r="W272" s="45"/>
      <c r="X272" s="47"/>
      <c r="Y272" s="39"/>
      <c r="Z272" s="41"/>
      <c r="AA272" s="32"/>
      <c r="AB272" s="32"/>
      <c r="AC272" s="32"/>
      <c r="AD272" s="32"/>
      <c r="AE272" s="32"/>
    </row>
    <row r="273" spans="1:3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72"/>
      <c r="L273" s="60"/>
      <c r="M273" s="37"/>
      <c r="N273" s="37"/>
      <c r="O273" s="37"/>
      <c r="P273" s="38"/>
      <c r="Q273" s="68"/>
      <c r="R273" s="42"/>
      <c r="S273" s="37"/>
      <c r="T273" s="37"/>
      <c r="U273" s="37"/>
      <c r="V273" s="37"/>
      <c r="W273" s="45"/>
      <c r="X273" s="47"/>
      <c r="Y273" s="39"/>
      <c r="Z273" s="39"/>
      <c r="AA273" s="33"/>
      <c r="AB273" s="33"/>
      <c r="AC273" s="33"/>
      <c r="AD273" s="33"/>
      <c r="AE273" s="33"/>
    </row>
    <row r="274" spans="1:3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71"/>
      <c r="L274" s="61"/>
      <c r="M274" s="39"/>
      <c r="N274" s="39"/>
      <c r="O274" s="39"/>
      <c r="P274" s="40"/>
      <c r="Q274" s="67"/>
      <c r="R274" s="43"/>
      <c r="S274" s="39"/>
      <c r="T274" s="39"/>
      <c r="U274" s="39"/>
      <c r="V274" s="39"/>
      <c r="W274" s="45"/>
      <c r="X274" s="47"/>
      <c r="Y274" s="39"/>
      <c r="Z274" s="39"/>
      <c r="AA274" s="32"/>
      <c r="AB274" s="32"/>
      <c r="AC274" s="32"/>
      <c r="AD274" s="32"/>
      <c r="AE274" s="32"/>
    </row>
    <row r="275" spans="1:3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71"/>
      <c r="L275" s="61"/>
      <c r="M275" s="39"/>
      <c r="N275" s="39"/>
      <c r="O275" s="39"/>
      <c r="P275" s="40"/>
      <c r="Q275" s="67"/>
      <c r="R275" s="43"/>
      <c r="S275" s="39"/>
      <c r="T275" s="39"/>
      <c r="U275" s="39"/>
      <c r="V275" s="39"/>
      <c r="W275" s="45"/>
      <c r="X275" s="47"/>
      <c r="Y275" s="39"/>
      <c r="Z275" s="39"/>
      <c r="AA275" s="32"/>
      <c r="AB275" s="32"/>
      <c r="AC275" s="32"/>
      <c r="AD275" s="32"/>
      <c r="AE275" s="32"/>
    </row>
    <row r="276" spans="1:3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71"/>
      <c r="L276" s="61"/>
      <c r="M276" s="39"/>
      <c r="N276" s="39"/>
      <c r="O276" s="39"/>
      <c r="P276" s="40"/>
      <c r="Q276" s="67"/>
      <c r="R276" s="43"/>
      <c r="S276" s="39"/>
      <c r="T276" s="39"/>
      <c r="U276" s="39"/>
      <c r="V276" s="39"/>
      <c r="W276" s="45"/>
      <c r="X276" s="47"/>
      <c r="Y276" s="39"/>
      <c r="Z276" s="39"/>
      <c r="AA276" s="32"/>
      <c r="AB276" s="32"/>
      <c r="AC276" s="32"/>
      <c r="AD276" s="32"/>
      <c r="AE276" s="32"/>
    </row>
    <row r="277" spans="1:3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71"/>
      <c r="L277" s="61"/>
      <c r="M277" s="39"/>
      <c r="N277" s="39"/>
      <c r="O277" s="39"/>
      <c r="P277" s="40"/>
      <c r="Q277" s="67"/>
      <c r="R277" s="43"/>
      <c r="S277" s="39"/>
      <c r="T277" s="39"/>
      <c r="U277" s="39"/>
      <c r="V277" s="39"/>
      <c r="W277" s="45"/>
      <c r="X277" s="47"/>
      <c r="Y277" s="39"/>
      <c r="Z277" s="39"/>
      <c r="AA277" s="32"/>
      <c r="AB277" s="32"/>
      <c r="AC277" s="32"/>
      <c r="AD277" s="32"/>
      <c r="AE277" s="32"/>
    </row>
    <row r="278" spans="1:31">
      <c r="K278" s="73"/>
      <c r="M278" s="70"/>
      <c r="N278" s="70"/>
      <c r="Q278" s="69"/>
    </row>
    <row r="279" spans="1:3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71"/>
      <c r="L279" s="61"/>
      <c r="M279" s="39"/>
      <c r="N279" s="39"/>
      <c r="O279" s="39"/>
      <c r="P279" s="40"/>
      <c r="Q279" s="67"/>
      <c r="R279" s="43"/>
      <c r="S279" s="39"/>
      <c r="T279" s="39"/>
      <c r="U279" s="39"/>
      <c r="V279" s="39"/>
      <c r="W279" s="45"/>
      <c r="X279" s="47"/>
      <c r="Y279" s="39"/>
      <c r="Z279" s="41"/>
      <c r="AA279" s="32"/>
      <c r="AB279" s="32"/>
      <c r="AC279" s="32"/>
      <c r="AD279" s="32"/>
      <c r="AE279" s="32"/>
    </row>
    <row r="280" spans="1:3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71"/>
      <c r="L280" s="61"/>
      <c r="M280" s="39"/>
      <c r="N280" s="39"/>
      <c r="O280" s="39"/>
      <c r="P280" s="40"/>
      <c r="Q280" s="67"/>
      <c r="R280" s="43"/>
      <c r="S280" s="39"/>
      <c r="T280" s="39"/>
      <c r="U280" s="39"/>
      <c r="V280" s="39"/>
      <c r="W280" s="45"/>
      <c r="X280" s="47"/>
      <c r="Y280" s="39"/>
      <c r="Z280" s="41"/>
      <c r="AA280" s="32"/>
      <c r="AB280" s="32"/>
      <c r="AC280" s="32"/>
      <c r="AD280" s="32"/>
      <c r="AE280" s="32"/>
    </row>
    <row r="281" spans="1:3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71"/>
      <c r="L281" s="61"/>
      <c r="M281" s="39"/>
      <c r="N281" s="39"/>
      <c r="O281" s="39"/>
      <c r="P281" s="40"/>
      <c r="Q281" s="67"/>
      <c r="R281" s="43"/>
      <c r="S281" s="39"/>
      <c r="T281" s="39"/>
      <c r="U281" s="39"/>
      <c r="V281" s="39"/>
      <c r="W281" s="45"/>
      <c r="X281" s="47"/>
      <c r="Y281" s="39"/>
      <c r="Z281" s="41"/>
      <c r="AA281" s="32"/>
      <c r="AB281" s="32"/>
      <c r="AC281" s="32"/>
      <c r="AD281" s="32"/>
      <c r="AE281" s="32"/>
    </row>
    <row r="282" spans="1:3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72"/>
      <c r="L282" s="60"/>
      <c r="M282" s="37"/>
      <c r="N282" s="37"/>
      <c r="O282" s="37"/>
      <c r="P282" s="38"/>
      <c r="Q282" s="68"/>
      <c r="R282" s="42"/>
      <c r="S282" s="37"/>
      <c r="T282" s="37"/>
      <c r="U282" s="37"/>
      <c r="V282" s="37"/>
      <c r="W282" s="45"/>
      <c r="X282" s="47"/>
      <c r="Y282" s="39"/>
      <c r="Z282" s="39"/>
      <c r="AA282" s="33"/>
      <c r="AB282" s="33"/>
      <c r="AC282" s="33"/>
      <c r="AD282" s="33"/>
      <c r="AE282" s="33"/>
    </row>
    <row r="283" spans="1:3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71"/>
      <c r="L283" s="61"/>
      <c r="M283" s="39"/>
      <c r="N283" s="39"/>
      <c r="O283" s="39"/>
      <c r="P283" s="40"/>
      <c r="Q283" s="67"/>
      <c r="R283" s="43"/>
      <c r="S283" s="39"/>
      <c r="T283" s="39"/>
      <c r="U283" s="39"/>
      <c r="V283" s="39"/>
      <c r="W283" s="45"/>
      <c r="X283" s="47"/>
      <c r="Y283" s="39"/>
      <c r="Z283" s="39"/>
      <c r="AA283" s="32"/>
      <c r="AB283" s="32"/>
      <c r="AC283" s="32"/>
      <c r="AD283" s="32"/>
      <c r="AE283" s="32"/>
    </row>
    <row r="284" spans="1:3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71"/>
      <c r="L284" s="61"/>
      <c r="M284" s="39"/>
      <c r="N284" s="39"/>
      <c r="O284" s="39"/>
      <c r="P284" s="40"/>
      <c r="Q284" s="67"/>
      <c r="R284" s="43"/>
      <c r="S284" s="39"/>
      <c r="T284" s="39"/>
      <c r="U284" s="39"/>
      <c r="V284" s="39"/>
      <c r="W284" s="45"/>
      <c r="X284" s="47"/>
      <c r="Y284" s="39"/>
      <c r="Z284" s="39"/>
      <c r="AA284" s="32"/>
      <c r="AB284" s="32"/>
      <c r="AC284" s="32"/>
      <c r="AD284" s="32"/>
      <c r="AE284" s="32"/>
    </row>
    <row r="285" spans="1:3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71"/>
      <c r="L285" s="61"/>
      <c r="M285" s="39"/>
      <c r="N285" s="39"/>
      <c r="O285" s="39"/>
      <c r="P285" s="40"/>
      <c r="Q285" s="67"/>
      <c r="R285" s="43"/>
      <c r="S285" s="39"/>
      <c r="T285" s="39"/>
      <c r="U285" s="39"/>
      <c r="V285" s="39"/>
      <c r="W285" s="45"/>
      <c r="X285" s="47"/>
      <c r="Y285" s="39"/>
      <c r="Z285" s="39"/>
      <c r="AA285" s="32"/>
      <c r="AB285" s="32"/>
      <c r="AC285" s="32"/>
      <c r="AD285" s="32"/>
      <c r="AE285" s="32"/>
    </row>
    <row r="286" spans="1:3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71"/>
      <c r="L286" s="61"/>
      <c r="M286" s="39"/>
      <c r="N286" s="39"/>
      <c r="O286" s="39"/>
      <c r="P286" s="40"/>
      <c r="Q286" s="67"/>
      <c r="R286" s="43"/>
      <c r="S286" s="39"/>
      <c r="T286" s="39"/>
      <c r="U286" s="39"/>
      <c r="V286" s="39"/>
      <c r="W286" s="45"/>
      <c r="X286" s="47"/>
      <c r="Y286" s="39"/>
      <c r="Z286" s="39"/>
      <c r="AA286" s="32"/>
      <c r="AB286" s="32"/>
      <c r="AC286" s="32"/>
      <c r="AD286" s="32"/>
      <c r="AE286" s="32"/>
    </row>
    <row r="287" spans="1:31">
      <c r="K287" s="73"/>
      <c r="M287" s="70"/>
      <c r="Q287" s="69"/>
    </row>
    <row r="288" spans="1:3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71"/>
      <c r="L288" s="61"/>
      <c r="M288" s="39"/>
      <c r="N288" s="39"/>
      <c r="O288" s="39"/>
      <c r="P288" s="40"/>
      <c r="Q288" s="67"/>
      <c r="R288" s="43"/>
      <c r="S288" s="39"/>
      <c r="T288" s="39"/>
      <c r="U288" s="39"/>
      <c r="V288" s="39"/>
      <c r="W288" s="45"/>
      <c r="X288" s="47"/>
      <c r="Y288" s="39"/>
      <c r="Z288" s="41"/>
      <c r="AA288" s="32"/>
      <c r="AB288" s="32"/>
      <c r="AC288" s="32"/>
      <c r="AD288" s="32"/>
      <c r="AE288" s="32"/>
    </row>
    <row r="289" spans="1:3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71"/>
      <c r="L289" s="61"/>
      <c r="M289" s="39"/>
      <c r="N289" s="39"/>
      <c r="O289" s="39"/>
      <c r="P289" s="40"/>
      <c r="Q289" s="67"/>
      <c r="R289" s="43"/>
      <c r="S289" s="39"/>
      <c r="T289" s="39"/>
      <c r="U289" s="39"/>
      <c r="V289" s="39"/>
      <c r="W289" s="45"/>
      <c r="X289" s="47"/>
      <c r="Y289" s="39"/>
      <c r="Z289" s="41"/>
      <c r="AA289" s="32"/>
      <c r="AB289" s="32"/>
      <c r="AC289" s="32"/>
      <c r="AD289" s="32"/>
      <c r="AE289" s="32"/>
    </row>
    <row r="290" spans="1:3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71"/>
      <c r="L290" s="61"/>
      <c r="M290" s="39"/>
      <c r="N290" s="39"/>
      <c r="O290" s="39"/>
      <c r="P290" s="40"/>
      <c r="Q290" s="67"/>
      <c r="R290" s="43"/>
      <c r="S290" s="39"/>
      <c r="T290" s="39"/>
      <c r="U290" s="39"/>
      <c r="V290" s="39"/>
      <c r="W290" s="45"/>
      <c r="X290" s="47"/>
      <c r="Y290" s="39"/>
      <c r="Z290" s="41"/>
      <c r="AA290" s="32"/>
      <c r="AB290" s="32"/>
      <c r="AC290" s="32"/>
      <c r="AD290" s="32"/>
      <c r="AE290" s="32"/>
    </row>
    <row r="291" spans="1:3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72"/>
      <c r="L291" s="60"/>
      <c r="M291" s="37"/>
      <c r="N291" s="37"/>
      <c r="O291" s="37"/>
      <c r="P291" s="38"/>
      <c r="Q291" s="68"/>
      <c r="R291" s="42"/>
      <c r="S291" s="37"/>
      <c r="T291" s="37"/>
      <c r="U291" s="37"/>
      <c r="V291" s="37"/>
      <c r="W291" s="45"/>
      <c r="X291" s="47"/>
      <c r="Y291" s="39"/>
      <c r="Z291" s="39"/>
      <c r="AA291" s="33"/>
      <c r="AB291" s="33"/>
      <c r="AC291" s="33"/>
      <c r="AD291" s="33"/>
      <c r="AE291" s="33"/>
    </row>
    <row r="292" spans="1:3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71"/>
      <c r="L292" s="61"/>
      <c r="M292" s="39"/>
      <c r="N292" s="39"/>
      <c r="O292" s="39"/>
      <c r="P292" s="40"/>
      <c r="Q292" s="67"/>
      <c r="R292" s="43"/>
      <c r="S292" s="39"/>
      <c r="T292" s="39"/>
      <c r="U292" s="39"/>
      <c r="V292" s="39"/>
      <c r="W292" s="45"/>
      <c r="X292" s="47"/>
      <c r="Y292" s="39"/>
      <c r="Z292" s="39"/>
      <c r="AA292" s="32"/>
      <c r="AB292" s="32"/>
      <c r="AC292" s="32"/>
      <c r="AD292" s="32"/>
      <c r="AE292" s="32"/>
    </row>
    <row r="293" spans="1:3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71"/>
      <c r="L293" s="61"/>
      <c r="M293" s="39"/>
      <c r="N293" s="39"/>
      <c r="O293" s="39"/>
      <c r="P293" s="40"/>
      <c r="Q293" s="67"/>
      <c r="R293" s="43"/>
      <c r="S293" s="39"/>
      <c r="T293" s="39"/>
      <c r="U293" s="39"/>
      <c r="V293" s="39"/>
      <c r="W293" s="45"/>
      <c r="X293" s="47"/>
      <c r="Y293" s="39"/>
      <c r="Z293" s="39"/>
      <c r="AA293" s="32"/>
      <c r="AB293" s="32"/>
      <c r="AC293" s="32"/>
      <c r="AD293" s="32"/>
      <c r="AE293" s="32"/>
    </row>
    <row r="294" spans="1:3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71"/>
      <c r="L294" s="61"/>
      <c r="M294" s="39"/>
      <c r="N294" s="39"/>
      <c r="O294" s="39"/>
      <c r="P294" s="40"/>
      <c r="Q294" s="67"/>
      <c r="R294" s="43"/>
      <c r="S294" s="39"/>
      <c r="T294" s="39"/>
      <c r="U294" s="39"/>
      <c r="V294" s="39"/>
      <c r="W294" s="45"/>
      <c r="X294" s="47"/>
      <c r="Y294" s="39"/>
      <c r="Z294" s="39"/>
      <c r="AA294" s="32"/>
      <c r="AB294" s="32"/>
      <c r="AC294" s="32"/>
      <c r="AD294" s="32"/>
      <c r="AE294" s="32"/>
    </row>
    <row r="295" spans="1:3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71"/>
      <c r="L295" s="61"/>
      <c r="M295" s="39"/>
      <c r="N295" s="39"/>
      <c r="O295" s="39"/>
      <c r="P295" s="40"/>
      <c r="Q295" s="67"/>
      <c r="R295" s="43"/>
      <c r="S295" s="39"/>
      <c r="T295" s="39"/>
      <c r="U295" s="39"/>
      <c r="V295" s="39"/>
      <c r="W295" s="45"/>
      <c r="X295" s="47"/>
      <c r="Y295" s="39"/>
      <c r="Z295" s="39"/>
      <c r="AA295" s="32"/>
      <c r="AB295" s="32"/>
      <c r="AC295" s="32"/>
      <c r="AD295" s="32"/>
      <c r="AE295" s="32"/>
    </row>
    <row r="296" spans="1:31">
      <c r="K296" s="73"/>
      <c r="M296" s="70"/>
      <c r="Q296" s="69"/>
    </row>
    <row r="297" spans="1:3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71"/>
      <c r="L297" s="61"/>
      <c r="M297" s="39"/>
      <c r="N297" s="39"/>
      <c r="O297" s="39"/>
      <c r="P297" s="40"/>
      <c r="Q297" s="67"/>
      <c r="R297" s="43"/>
      <c r="S297" s="39"/>
      <c r="T297" s="39"/>
      <c r="U297" s="39"/>
      <c r="V297" s="39"/>
      <c r="W297" s="45"/>
      <c r="X297" s="47"/>
      <c r="Y297" s="39"/>
      <c r="Z297" s="41"/>
      <c r="AA297" s="32"/>
      <c r="AB297" s="32"/>
      <c r="AC297" s="32"/>
      <c r="AD297" s="32"/>
      <c r="AE297" s="32"/>
    </row>
    <row r="298" spans="1:3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71"/>
      <c r="L298" s="61"/>
      <c r="M298" s="39"/>
      <c r="N298" s="39"/>
      <c r="O298" s="39"/>
      <c r="P298" s="40"/>
      <c r="Q298" s="67"/>
      <c r="R298" s="43"/>
      <c r="S298" s="39"/>
      <c r="T298" s="39"/>
      <c r="U298" s="39"/>
      <c r="V298" s="39"/>
      <c r="W298" s="45"/>
      <c r="X298" s="47"/>
      <c r="Y298" s="39"/>
      <c r="Z298" s="41"/>
      <c r="AA298" s="32"/>
      <c r="AB298" s="32"/>
      <c r="AC298" s="32"/>
      <c r="AD298" s="32"/>
      <c r="AE298" s="32"/>
    </row>
    <row r="299" spans="1:3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71"/>
      <c r="L299" s="61"/>
      <c r="M299" s="39"/>
      <c r="N299" s="39"/>
      <c r="O299" s="39"/>
      <c r="P299" s="40"/>
      <c r="Q299" s="67"/>
      <c r="R299" s="43"/>
      <c r="S299" s="39"/>
      <c r="T299" s="39"/>
      <c r="U299" s="39"/>
      <c r="V299" s="39"/>
      <c r="W299" s="45"/>
      <c r="X299" s="47"/>
      <c r="Y299" s="39"/>
      <c r="Z299" s="41"/>
      <c r="AA299" s="32"/>
      <c r="AB299" s="32"/>
      <c r="AC299" s="32"/>
      <c r="AD299" s="32"/>
      <c r="AE299" s="32"/>
    </row>
    <row r="300" spans="1:3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72"/>
      <c r="L300" s="60"/>
      <c r="M300" s="37"/>
      <c r="N300" s="37"/>
      <c r="O300" s="37"/>
      <c r="P300" s="38"/>
      <c r="Q300" s="68"/>
      <c r="R300" s="42"/>
      <c r="S300" s="37"/>
      <c r="T300" s="37"/>
      <c r="U300" s="37"/>
      <c r="V300" s="37"/>
      <c r="W300" s="45"/>
      <c r="X300" s="47"/>
      <c r="Y300" s="39"/>
      <c r="Z300" s="39"/>
      <c r="AA300" s="33"/>
      <c r="AB300" s="33"/>
      <c r="AC300" s="33"/>
      <c r="AD300" s="33"/>
      <c r="AE300" s="33"/>
    </row>
    <row r="301" spans="1:3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71"/>
      <c r="L301" s="61"/>
      <c r="M301" s="39"/>
      <c r="N301" s="39"/>
      <c r="O301" s="39"/>
      <c r="P301" s="40"/>
      <c r="Q301" s="67"/>
      <c r="R301" s="43"/>
      <c r="S301" s="39"/>
      <c r="T301" s="39"/>
      <c r="U301" s="39"/>
      <c r="V301" s="39"/>
      <c r="W301" s="45"/>
      <c r="X301" s="47"/>
      <c r="Y301" s="39"/>
      <c r="Z301" s="39"/>
      <c r="AA301" s="32"/>
      <c r="AB301" s="32"/>
      <c r="AC301" s="32"/>
      <c r="AD301" s="32"/>
      <c r="AE301" s="32"/>
    </row>
    <row r="302" spans="1:3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71"/>
      <c r="L302" s="61"/>
      <c r="M302" s="39"/>
      <c r="N302" s="39"/>
      <c r="O302" s="39"/>
      <c r="P302" s="40"/>
      <c r="Q302" s="67"/>
      <c r="R302" s="43"/>
      <c r="S302" s="39"/>
      <c r="T302" s="39"/>
      <c r="U302" s="39"/>
      <c r="V302" s="39"/>
      <c r="W302" s="45"/>
      <c r="X302" s="47"/>
      <c r="Y302" s="39"/>
      <c r="Z302" s="39"/>
      <c r="AA302" s="32"/>
      <c r="AB302" s="32"/>
      <c r="AC302" s="32"/>
      <c r="AD302" s="32"/>
      <c r="AE302" s="32"/>
    </row>
    <row r="303" spans="1:3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71"/>
      <c r="L303" s="61"/>
      <c r="M303" s="39"/>
      <c r="N303" s="39"/>
      <c r="O303" s="39"/>
      <c r="P303" s="40"/>
      <c r="Q303" s="67"/>
      <c r="R303" s="43"/>
      <c r="S303" s="39"/>
      <c r="T303" s="39"/>
      <c r="U303" s="39"/>
      <c r="V303" s="39"/>
      <c r="W303" s="45"/>
      <c r="X303" s="47"/>
      <c r="Y303" s="39"/>
      <c r="Z303" s="39"/>
      <c r="AA303" s="32"/>
      <c r="AB303" s="32"/>
      <c r="AC303" s="32"/>
      <c r="AD303" s="32"/>
      <c r="AE303" s="32"/>
    </row>
    <row r="304" spans="1:3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71"/>
      <c r="L304" s="61"/>
      <c r="M304" s="39"/>
      <c r="N304" s="39"/>
      <c r="O304" s="39"/>
      <c r="P304" s="40"/>
      <c r="Q304" s="67"/>
      <c r="R304" s="43"/>
      <c r="S304" s="39"/>
      <c r="T304" s="39"/>
      <c r="U304" s="39"/>
      <c r="V304" s="39"/>
      <c r="W304" s="45"/>
      <c r="X304" s="47"/>
      <c r="Y304" s="39"/>
      <c r="Z304" s="39"/>
      <c r="AA304" s="32"/>
      <c r="AB304" s="32"/>
      <c r="AC304" s="32"/>
      <c r="AD304" s="32"/>
      <c r="AE304" s="32"/>
    </row>
    <row r="305" spans="1:31">
      <c r="K305" s="73"/>
      <c r="M305" s="70"/>
      <c r="N305" s="70"/>
      <c r="P305" s="70"/>
      <c r="Q305" s="69"/>
      <c r="R305" s="70"/>
      <c r="T305" s="70"/>
      <c r="X305" s="70"/>
      <c r="Y305" s="70"/>
      <c r="Z305" s="70"/>
    </row>
    <row r="306" spans="1:3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71"/>
      <c r="L306" s="61"/>
      <c r="M306" s="39"/>
      <c r="N306" s="39"/>
      <c r="O306" s="39"/>
      <c r="P306" s="40"/>
      <c r="Q306" s="67"/>
      <c r="R306" s="43"/>
      <c r="S306" s="39"/>
      <c r="T306" s="39"/>
      <c r="U306" s="39"/>
      <c r="V306" s="39"/>
      <c r="W306" s="45"/>
      <c r="X306" s="47"/>
      <c r="Y306" s="39"/>
      <c r="Z306" s="41"/>
      <c r="AA306" s="32"/>
      <c r="AB306" s="32"/>
      <c r="AC306" s="32"/>
      <c r="AD306" s="32"/>
      <c r="AE306" s="32"/>
    </row>
    <row r="307" spans="1:3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71"/>
      <c r="L307" s="61"/>
      <c r="M307" s="39"/>
      <c r="N307" s="39"/>
      <c r="O307" s="39"/>
      <c r="P307" s="40"/>
      <c r="Q307" s="67"/>
      <c r="R307" s="43"/>
      <c r="S307" s="39"/>
      <c r="T307" s="39"/>
      <c r="U307" s="39"/>
      <c r="V307" s="39"/>
      <c r="W307" s="45"/>
      <c r="X307" s="47"/>
      <c r="Y307" s="39"/>
      <c r="Z307" s="41"/>
      <c r="AA307" s="32"/>
      <c r="AB307" s="32"/>
      <c r="AC307" s="32"/>
      <c r="AD307" s="32"/>
      <c r="AE307" s="32"/>
    </row>
    <row r="308" spans="1:3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71"/>
      <c r="L308" s="61"/>
      <c r="M308" s="39"/>
      <c r="N308" s="39"/>
      <c r="O308" s="39"/>
      <c r="P308" s="40"/>
      <c r="Q308" s="67"/>
      <c r="R308" s="43"/>
      <c r="S308" s="39"/>
      <c r="T308" s="39"/>
      <c r="U308" s="39"/>
      <c r="V308" s="39"/>
      <c r="W308" s="45"/>
      <c r="X308" s="47"/>
      <c r="Y308" s="39"/>
      <c r="Z308" s="41"/>
      <c r="AA308" s="32"/>
      <c r="AB308" s="32"/>
      <c r="AC308" s="32"/>
      <c r="AD308" s="32"/>
      <c r="AE308" s="32"/>
    </row>
    <row r="309" spans="1:3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72"/>
      <c r="L309" s="60"/>
      <c r="M309" s="37"/>
      <c r="N309" s="37"/>
      <c r="O309" s="37"/>
      <c r="P309" s="38"/>
      <c r="Q309" s="68"/>
      <c r="R309" s="42"/>
      <c r="S309" s="37"/>
      <c r="T309" s="37"/>
      <c r="U309" s="37"/>
      <c r="V309" s="37"/>
      <c r="W309" s="45"/>
      <c r="X309" s="47"/>
      <c r="Y309" s="39"/>
      <c r="Z309" s="39"/>
      <c r="AA309" s="33"/>
      <c r="AB309" s="33"/>
      <c r="AC309" s="33"/>
      <c r="AD309" s="33"/>
      <c r="AE309" s="33"/>
    </row>
    <row r="310" spans="1:3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71"/>
      <c r="L310" s="61"/>
      <c r="M310" s="39"/>
      <c r="N310" s="39"/>
      <c r="O310" s="39"/>
      <c r="P310" s="40"/>
      <c r="Q310" s="67"/>
      <c r="R310" s="43"/>
      <c r="S310" s="39"/>
      <c r="T310" s="39"/>
      <c r="U310" s="39"/>
      <c r="V310" s="39"/>
      <c r="W310" s="45"/>
      <c r="X310" s="47"/>
      <c r="Y310" s="39"/>
      <c r="Z310" s="39"/>
      <c r="AA310" s="32"/>
      <c r="AB310" s="32"/>
      <c r="AC310" s="32"/>
      <c r="AD310" s="32"/>
      <c r="AE310" s="32"/>
    </row>
    <row r="311" spans="1:3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71"/>
      <c r="L311" s="61"/>
      <c r="M311" s="39"/>
      <c r="N311" s="39"/>
      <c r="O311" s="39"/>
      <c r="P311" s="40"/>
      <c r="Q311" s="67"/>
      <c r="R311" s="43"/>
      <c r="S311" s="39"/>
      <c r="T311" s="39"/>
      <c r="U311" s="39"/>
      <c r="V311" s="39"/>
      <c r="W311" s="45"/>
      <c r="X311" s="47"/>
      <c r="Y311" s="39"/>
      <c r="Z311" s="39"/>
      <c r="AA311" s="32"/>
      <c r="AB311" s="32"/>
      <c r="AC311" s="32"/>
      <c r="AD311" s="32"/>
      <c r="AE311" s="32"/>
    </row>
    <row r="312" spans="1:3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71"/>
      <c r="L312" s="61"/>
      <c r="M312" s="39"/>
      <c r="N312" s="39"/>
      <c r="O312" s="39"/>
      <c r="P312" s="40"/>
      <c r="Q312" s="67"/>
      <c r="R312" s="43"/>
      <c r="S312" s="39"/>
      <c r="T312" s="39"/>
      <c r="U312" s="39"/>
      <c r="V312" s="39"/>
      <c r="W312" s="45"/>
      <c r="X312" s="47"/>
      <c r="Y312" s="39"/>
      <c r="Z312" s="39"/>
      <c r="AA312" s="32"/>
      <c r="AB312" s="32"/>
      <c r="AC312" s="32"/>
      <c r="AD312" s="32"/>
      <c r="AE312" s="32"/>
    </row>
    <row r="313" spans="1:3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71"/>
      <c r="L313" s="61"/>
      <c r="M313" s="39"/>
      <c r="N313" s="39"/>
      <c r="O313" s="39"/>
      <c r="P313" s="40"/>
      <c r="Q313" s="67"/>
      <c r="R313" s="43"/>
      <c r="S313" s="39"/>
      <c r="T313" s="39"/>
      <c r="U313" s="39"/>
      <c r="V313" s="39"/>
      <c r="W313" s="45"/>
      <c r="X313" s="47"/>
      <c r="Y313" s="39"/>
      <c r="Z313" s="39"/>
      <c r="AA313" s="32"/>
      <c r="AB313" s="32"/>
      <c r="AC313" s="32"/>
      <c r="AD313" s="32"/>
      <c r="AE313" s="32"/>
    </row>
    <row r="314" spans="1:31">
      <c r="K314" s="73"/>
      <c r="M314" s="70"/>
      <c r="Q314" s="69"/>
      <c r="R314" s="70"/>
      <c r="S314" s="70"/>
      <c r="X314" s="70"/>
      <c r="Y314" s="70"/>
      <c r="Z314" s="70"/>
    </row>
    <row r="315" spans="1:3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71"/>
      <c r="L315" s="61"/>
      <c r="M315" s="39"/>
      <c r="N315" s="39"/>
      <c r="O315" s="39"/>
      <c r="P315" s="40"/>
      <c r="Q315" s="67"/>
      <c r="R315" s="43"/>
      <c r="S315" s="39"/>
      <c r="T315" s="39"/>
      <c r="U315" s="39"/>
      <c r="V315" s="39"/>
      <c r="W315" s="45"/>
      <c r="X315" s="47"/>
      <c r="Y315" s="39"/>
      <c r="Z315" s="41"/>
      <c r="AA315" s="32"/>
      <c r="AB315" s="32"/>
      <c r="AC315" s="32"/>
      <c r="AD315" s="32"/>
      <c r="AE315" s="32"/>
    </row>
    <row r="316" spans="1:3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71"/>
      <c r="L316" s="61"/>
      <c r="M316" s="39"/>
      <c r="N316" s="39"/>
      <c r="O316" s="39"/>
      <c r="P316" s="40"/>
      <c r="Q316" s="67"/>
      <c r="R316" s="43"/>
      <c r="S316" s="39"/>
      <c r="T316" s="39"/>
      <c r="U316" s="39"/>
      <c r="V316" s="39"/>
      <c r="W316" s="45"/>
      <c r="X316" s="47"/>
      <c r="Y316" s="39"/>
      <c r="Z316" s="41"/>
      <c r="AA316" s="32"/>
      <c r="AB316" s="32"/>
      <c r="AC316" s="32"/>
      <c r="AD316" s="32"/>
      <c r="AE316" s="32"/>
    </row>
    <row r="317" spans="1:3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71"/>
      <c r="L317" s="61"/>
      <c r="M317" s="39"/>
      <c r="N317" s="39"/>
      <c r="O317" s="39"/>
      <c r="P317" s="40"/>
      <c r="Q317" s="67"/>
      <c r="R317" s="43"/>
      <c r="S317" s="39"/>
      <c r="T317" s="39"/>
      <c r="U317" s="39"/>
      <c r="V317" s="39"/>
      <c r="W317" s="45"/>
      <c r="X317" s="47"/>
      <c r="Y317" s="39"/>
      <c r="Z317" s="41"/>
      <c r="AA317" s="32"/>
      <c r="AB317" s="32"/>
      <c r="AC317" s="32"/>
      <c r="AD317" s="32"/>
      <c r="AE317" s="32"/>
    </row>
    <row r="318" spans="1:3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72"/>
      <c r="L318" s="60"/>
      <c r="M318" s="37"/>
      <c r="N318" s="37"/>
      <c r="O318" s="37"/>
      <c r="P318" s="38"/>
      <c r="Q318" s="68"/>
      <c r="R318" s="42"/>
      <c r="S318" s="37"/>
      <c r="T318" s="37"/>
      <c r="U318" s="37"/>
      <c r="V318" s="37"/>
      <c r="W318" s="45"/>
      <c r="X318" s="47"/>
      <c r="Y318" s="39"/>
      <c r="Z318" s="39"/>
      <c r="AA318" s="33"/>
      <c r="AB318" s="33"/>
      <c r="AC318" s="33"/>
      <c r="AD318" s="33"/>
      <c r="AE318" s="33"/>
    </row>
    <row r="319" spans="1:3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71"/>
      <c r="L319" s="61"/>
      <c r="M319" s="39"/>
      <c r="N319" s="39"/>
      <c r="O319" s="39"/>
      <c r="P319" s="40"/>
      <c r="Q319" s="67"/>
      <c r="R319" s="43"/>
      <c r="S319" s="39"/>
      <c r="T319" s="39"/>
      <c r="U319" s="39"/>
      <c r="V319" s="39"/>
      <c r="W319" s="45"/>
      <c r="X319" s="47"/>
      <c r="Y319" s="39"/>
      <c r="Z319" s="39"/>
      <c r="AA319" s="32"/>
      <c r="AB319" s="32"/>
      <c r="AC319" s="32"/>
      <c r="AD319" s="32"/>
      <c r="AE319" s="32"/>
    </row>
    <row r="320" spans="1:3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71"/>
      <c r="L320" s="61"/>
      <c r="M320" s="39"/>
      <c r="N320" s="39"/>
      <c r="O320" s="39"/>
      <c r="P320" s="40"/>
      <c r="Q320" s="67"/>
      <c r="R320" s="43"/>
      <c r="S320" s="39"/>
      <c r="T320" s="39"/>
      <c r="U320" s="39"/>
      <c r="V320" s="39"/>
      <c r="W320" s="45"/>
      <c r="X320" s="47"/>
      <c r="Y320" s="39"/>
      <c r="Z320" s="39"/>
      <c r="AA320" s="32"/>
      <c r="AB320" s="32"/>
      <c r="AC320" s="32"/>
      <c r="AD320" s="32"/>
      <c r="AE320" s="32"/>
    </row>
    <row r="321" spans="1:3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71"/>
      <c r="L321" s="61"/>
      <c r="M321" s="39"/>
      <c r="N321" s="39"/>
      <c r="O321" s="39"/>
      <c r="P321" s="40"/>
      <c r="Q321" s="67"/>
      <c r="R321" s="43"/>
      <c r="S321" s="39"/>
      <c r="T321" s="39"/>
      <c r="U321" s="39"/>
      <c r="V321" s="39"/>
      <c r="W321" s="45"/>
      <c r="X321" s="47"/>
      <c r="Y321" s="39"/>
      <c r="Z321" s="39"/>
      <c r="AA321" s="32"/>
      <c r="AB321" s="32"/>
      <c r="AC321" s="32"/>
      <c r="AD321" s="32"/>
      <c r="AE321" s="32"/>
    </row>
    <row r="322" spans="1:3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71"/>
      <c r="L322" s="61"/>
      <c r="M322" s="39"/>
      <c r="N322" s="39"/>
      <c r="O322" s="39"/>
      <c r="P322" s="40"/>
      <c r="Q322" s="67"/>
      <c r="R322" s="43"/>
      <c r="S322" s="39"/>
      <c r="T322" s="39"/>
      <c r="U322" s="39"/>
      <c r="V322" s="39"/>
      <c r="W322" s="45"/>
      <c r="X322" s="47"/>
      <c r="Y322" s="39"/>
      <c r="Z322" s="39"/>
      <c r="AA322" s="32"/>
      <c r="AB322" s="32"/>
      <c r="AC322" s="32"/>
      <c r="AD322" s="32"/>
      <c r="AE322" s="32"/>
    </row>
    <row r="323" spans="1:31">
      <c r="K323" s="73"/>
      <c r="M323" s="70"/>
      <c r="O323" s="70"/>
      <c r="Q323" s="69"/>
      <c r="R323" s="70"/>
      <c r="T323" s="70"/>
      <c r="V323" s="70"/>
      <c r="X323" s="70"/>
      <c r="Y323" s="70"/>
      <c r="Z323" s="70"/>
    </row>
    <row r="324" spans="1:3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71"/>
      <c r="L324" s="61"/>
      <c r="M324" s="39"/>
      <c r="N324" s="39"/>
      <c r="O324" s="39"/>
      <c r="P324" s="40"/>
      <c r="Q324" s="67"/>
      <c r="R324" s="43"/>
      <c r="S324" s="39"/>
      <c r="T324" s="39"/>
      <c r="U324" s="39"/>
      <c r="V324" s="39"/>
      <c r="W324" s="45"/>
      <c r="X324" s="47"/>
      <c r="Y324" s="39"/>
      <c r="Z324" s="41"/>
      <c r="AA324" s="32"/>
      <c r="AB324" s="32"/>
      <c r="AC324" s="32"/>
      <c r="AD324" s="32"/>
      <c r="AE324" s="32"/>
    </row>
    <row r="325" spans="1:3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71"/>
      <c r="L325" s="61"/>
      <c r="M325" s="39"/>
      <c r="N325" s="39"/>
      <c r="O325" s="39"/>
      <c r="P325" s="40"/>
      <c r="Q325" s="67"/>
      <c r="R325" s="43"/>
      <c r="S325" s="39"/>
      <c r="T325" s="39"/>
      <c r="U325" s="39"/>
      <c r="V325" s="39"/>
      <c r="W325" s="45"/>
      <c r="X325" s="47"/>
      <c r="Y325" s="39"/>
      <c r="Z325" s="41"/>
      <c r="AA325" s="32"/>
      <c r="AB325" s="32"/>
      <c r="AC325" s="32"/>
      <c r="AD325" s="32"/>
      <c r="AE325" s="32"/>
    </row>
    <row r="326" spans="1:3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71"/>
      <c r="L326" s="61"/>
      <c r="M326" s="39"/>
      <c r="N326" s="39"/>
      <c r="O326" s="39"/>
      <c r="P326" s="40"/>
      <c r="Q326" s="67"/>
      <c r="R326" s="43"/>
      <c r="S326" s="39"/>
      <c r="T326" s="39"/>
      <c r="U326" s="39"/>
      <c r="V326" s="39"/>
      <c r="W326" s="45"/>
      <c r="X326" s="47"/>
      <c r="Y326" s="39"/>
      <c r="Z326" s="41"/>
      <c r="AA326" s="32"/>
      <c r="AB326" s="32"/>
      <c r="AC326" s="32"/>
      <c r="AD326" s="32"/>
      <c r="AE326" s="32"/>
    </row>
    <row r="327" spans="1:3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72"/>
      <c r="L327" s="60"/>
      <c r="M327" s="37"/>
      <c r="N327" s="37"/>
      <c r="O327" s="37"/>
      <c r="P327" s="38"/>
      <c r="Q327" s="68"/>
      <c r="R327" s="42"/>
      <c r="S327" s="37"/>
      <c r="T327" s="37"/>
      <c r="U327" s="37"/>
      <c r="V327" s="37"/>
      <c r="W327" s="45"/>
      <c r="X327" s="47"/>
      <c r="Y327" s="39"/>
      <c r="Z327" s="39"/>
      <c r="AA327" s="33"/>
      <c r="AB327" s="33"/>
      <c r="AC327" s="33"/>
      <c r="AD327" s="33"/>
      <c r="AE327" s="33"/>
    </row>
    <row r="328" spans="1:3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71"/>
      <c r="L328" s="61"/>
      <c r="M328" s="39"/>
      <c r="N328" s="39"/>
      <c r="O328" s="39"/>
      <c r="P328" s="40"/>
      <c r="Q328" s="67"/>
      <c r="R328" s="43"/>
      <c r="S328" s="39"/>
      <c r="T328" s="39"/>
      <c r="U328" s="39"/>
      <c r="V328" s="39"/>
      <c r="W328" s="45"/>
      <c r="X328" s="47"/>
      <c r="Y328" s="39"/>
      <c r="Z328" s="39"/>
      <c r="AA328" s="32"/>
      <c r="AB328" s="32"/>
      <c r="AC328" s="32"/>
      <c r="AD328" s="32"/>
      <c r="AE328" s="32"/>
    </row>
    <row r="329" spans="1:3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71"/>
      <c r="L329" s="61"/>
      <c r="M329" s="39"/>
      <c r="N329" s="39"/>
      <c r="O329" s="39"/>
      <c r="P329" s="40"/>
      <c r="Q329" s="67"/>
      <c r="R329" s="43"/>
      <c r="S329" s="39"/>
      <c r="T329" s="39"/>
      <c r="U329" s="39"/>
      <c r="V329" s="39"/>
      <c r="W329" s="45"/>
      <c r="X329" s="47"/>
      <c r="Y329" s="39"/>
      <c r="Z329" s="39"/>
      <c r="AA329" s="32"/>
      <c r="AB329" s="32"/>
      <c r="AC329" s="32"/>
      <c r="AD329" s="32"/>
      <c r="AE329" s="32"/>
    </row>
    <row r="330" spans="1:3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71"/>
      <c r="L330" s="61"/>
      <c r="M330" s="39"/>
      <c r="N330" s="39"/>
      <c r="O330" s="39"/>
      <c r="P330" s="40"/>
      <c r="Q330" s="67"/>
      <c r="R330" s="43"/>
      <c r="S330" s="39"/>
      <c r="T330" s="39"/>
      <c r="U330" s="39"/>
      <c r="V330" s="39"/>
      <c r="W330" s="45"/>
      <c r="X330" s="47"/>
      <c r="Y330" s="39"/>
      <c r="Z330" s="39"/>
      <c r="AA330" s="32"/>
      <c r="AB330" s="32"/>
      <c r="AC330" s="32"/>
      <c r="AD330" s="32"/>
      <c r="AE330" s="32"/>
    </row>
    <row r="331" spans="1: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71"/>
      <c r="L331" s="61"/>
      <c r="M331" s="39"/>
      <c r="N331" s="39"/>
      <c r="O331" s="39"/>
      <c r="P331" s="40"/>
      <c r="Q331" s="67"/>
      <c r="R331" s="43"/>
      <c r="S331" s="39"/>
      <c r="T331" s="39"/>
      <c r="U331" s="39"/>
      <c r="V331" s="39"/>
      <c r="W331" s="45"/>
      <c r="X331" s="47"/>
      <c r="Y331" s="39"/>
      <c r="Z331" s="39"/>
      <c r="AA331" s="32"/>
      <c r="AB331" s="32"/>
      <c r="AC331" s="32"/>
      <c r="AD331" s="32"/>
      <c r="AE331" s="32"/>
    </row>
    <row r="332" spans="1:31">
      <c r="K332" s="73"/>
      <c r="M332" s="70"/>
      <c r="Q332" s="69"/>
    </row>
    <row r="333" spans="1:3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71"/>
      <c r="L333" s="61"/>
      <c r="M333" s="39"/>
      <c r="N333" s="39"/>
      <c r="O333" s="39"/>
      <c r="P333" s="40"/>
      <c r="Q333" s="67"/>
      <c r="R333" s="43"/>
      <c r="S333" s="39"/>
      <c r="T333" s="39"/>
      <c r="U333" s="39"/>
      <c r="V333" s="39"/>
      <c r="W333" s="45"/>
      <c r="X333" s="47"/>
      <c r="Y333" s="39"/>
      <c r="Z333" s="41"/>
      <c r="AA333" s="32"/>
      <c r="AB333" s="32"/>
      <c r="AC333" s="32"/>
      <c r="AD333" s="32"/>
      <c r="AE333" s="32"/>
    </row>
    <row r="334" spans="1:3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71"/>
      <c r="L334" s="61"/>
      <c r="M334" s="39"/>
      <c r="N334" s="39"/>
      <c r="O334" s="39"/>
      <c r="P334" s="40"/>
      <c r="Q334" s="67"/>
      <c r="R334" s="43"/>
      <c r="S334" s="39"/>
      <c r="T334" s="39"/>
      <c r="U334" s="39"/>
      <c r="V334" s="39"/>
      <c r="W334" s="45"/>
      <c r="X334" s="47"/>
      <c r="Y334" s="39"/>
      <c r="Z334" s="41"/>
      <c r="AA334" s="32"/>
      <c r="AB334" s="32"/>
      <c r="AC334" s="32"/>
      <c r="AD334" s="32"/>
      <c r="AE334" s="32"/>
    </row>
    <row r="335" spans="1:3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71"/>
      <c r="L335" s="61"/>
      <c r="M335" s="39"/>
      <c r="N335" s="39"/>
      <c r="O335" s="39"/>
      <c r="P335" s="40"/>
      <c r="Q335" s="67"/>
      <c r="R335" s="43"/>
      <c r="S335" s="39"/>
      <c r="T335" s="39"/>
      <c r="U335" s="39"/>
      <c r="V335" s="39"/>
      <c r="W335" s="45"/>
      <c r="X335" s="47"/>
      <c r="Y335" s="39"/>
      <c r="Z335" s="41"/>
      <c r="AA335" s="32"/>
      <c r="AB335" s="32"/>
      <c r="AC335" s="32"/>
      <c r="AD335" s="32"/>
      <c r="AE335" s="32"/>
    </row>
    <row r="336" spans="1:3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72"/>
      <c r="L336" s="60"/>
      <c r="M336" s="37"/>
      <c r="N336" s="37"/>
      <c r="O336" s="37"/>
      <c r="P336" s="38"/>
      <c r="Q336" s="68"/>
      <c r="R336" s="42"/>
      <c r="S336" s="37"/>
      <c r="T336" s="37"/>
      <c r="U336" s="37"/>
      <c r="V336" s="37"/>
      <c r="W336" s="45"/>
      <c r="X336" s="47"/>
      <c r="Y336" s="39"/>
      <c r="Z336" s="39"/>
      <c r="AA336" s="33"/>
      <c r="AB336" s="33"/>
      <c r="AC336" s="33"/>
      <c r="AD336" s="33"/>
      <c r="AE336" s="33"/>
    </row>
    <row r="337" spans="1:3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71"/>
      <c r="L337" s="61"/>
      <c r="M337" s="39"/>
      <c r="N337" s="39"/>
      <c r="O337" s="39"/>
      <c r="P337" s="40"/>
      <c r="Q337" s="67"/>
      <c r="R337" s="43"/>
      <c r="S337" s="39"/>
      <c r="T337" s="39"/>
      <c r="U337" s="39"/>
      <c r="V337" s="39"/>
      <c r="W337" s="45"/>
      <c r="X337" s="47"/>
      <c r="Y337" s="39"/>
      <c r="Z337" s="39"/>
      <c r="AA337" s="32"/>
      <c r="AB337" s="32"/>
      <c r="AC337" s="32"/>
      <c r="AD337" s="32"/>
      <c r="AE337" s="32"/>
    </row>
    <row r="338" spans="1:3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71"/>
      <c r="L338" s="61"/>
      <c r="M338" s="39"/>
      <c r="N338" s="39"/>
      <c r="O338" s="39"/>
      <c r="P338" s="40"/>
      <c r="Q338" s="67"/>
      <c r="R338" s="43"/>
      <c r="S338" s="39"/>
      <c r="T338" s="39"/>
      <c r="U338" s="39"/>
      <c r="V338" s="39"/>
      <c r="W338" s="45"/>
      <c r="X338" s="47"/>
      <c r="Y338" s="39"/>
      <c r="Z338" s="39"/>
      <c r="AA338" s="32"/>
      <c r="AB338" s="32"/>
      <c r="AC338" s="32"/>
      <c r="AD338" s="32"/>
      <c r="AE338" s="32"/>
    </row>
    <row r="339" spans="1:3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71"/>
      <c r="L339" s="61"/>
      <c r="M339" s="39"/>
      <c r="N339" s="39"/>
      <c r="O339" s="39"/>
      <c r="P339" s="40"/>
      <c r="Q339" s="67"/>
      <c r="R339" s="43"/>
      <c r="S339" s="39"/>
      <c r="T339" s="39"/>
      <c r="U339" s="39"/>
      <c r="V339" s="39"/>
      <c r="W339" s="45"/>
      <c r="X339" s="47"/>
      <c r="Y339" s="39"/>
      <c r="Z339" s="39"/>
      <c r="AA339" s="32"/>
      <c r="AB339" s="32"/>
      <c r="AC339" s="32"/>
      <c r="AD339" s="32"/>
      <c r="AE339" s="32"/>
    </row>
    <row r="340" spans="1:3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71"/>
      <c r="L340" s="61"/>
      <c r="M340" s="39"/>
      <c r="N340" s="39"/>
      <c r="O340" s="39"/>
      <c r="P340" s="40"/>
      <c r="Q340" s="67"/>
      <c r="R340" s="43"/>
      <c r="S340" s="39"/>
      <c r="T340" s="39"/>
      <c r="U340" s="39"/>
      <c r="V340" s="39"/>
      <c r="W340" s="45"/>
      <c r="X340" s="47"/>
      <c r="Y340" s="39"/>
      <c r="Z340" s="39"/>
      <c r="AA340" s="32"/>
      <c r="AB340" s="32"/>
      <c r="AC340" s="32"/>
      <c r="AD340" s="32"/>
      <c r="AE340" s="32"/>
    </row>
    <row r="341" spans="1:31">
      <c r="K341" s="73"/>
      <c r="M341" s="70"/>
      <c r="N341" s="70"/>
      <c r="Q341" s="69"/>
      <c r="Y341" s="70"/>
      <c r="Z341" s="70"/>
    </row>
    <row r="342" spans="1:3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71"/>
      <c r="L342" s="61"/>
      <c r="M342" s="39"/>
      <c r="N342" s="39"/>
      <c r="O342" s="39"/>
      <c r="P342" s="40"/>
      <c r="Q342" s="67"/>
      <c r="R342" s="43"/>
      <c r="S342" s="39"/>
      <c r="T342" s="39"/>
      <c r="U342" s="39"/>
      <c r="V342" s="39"/>
      <c r="W342" s="45"/>
      <c r="X342" s="47"/>
      <c r="Y342" s="39"/>
      <c r="Z342" s="41"/>
      <c r="AA342" s="32"/>
      <c r="AB342" s="32"/>
      <c r="AC342" s="32"/>
      <c r="AD342" s="32"/>
      <c r="AE342" s="32"/>
    </row>
    <row r="343" spans="1:3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71"/>
      <c r="L343" s="61"/>
      <c r="M343" s="39"/>
      <c r="N343" s="39"/>
      <c r="O343" s="39"/>
      <c r="P343" s="40"/>
      <c r="Q343" s="67"/>
      <c r="R343" s="43"/>
      <c r="S343" s="39"/>
      <c r="T343" s="39"/>
      <c r="U343" s="39"/>
      <c r="V343" s="39"/>
      <c r="W343" s="45"/>
      <c r="X343" s="47"/>
      <c r="Y343" s="39"/>
      <c r="Z343" s="41"/>
      <c r="AA343" s="32"/>
      <c r="AB343" s="32"/>
      <c r="AC343" s="32"/>
      <c r="AD343" s="32"/>
      <c r="AE343" s="32"/>
    </row>
    <row r="344" spans="1:3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71"/>
      <c r="L344" s="61"/>
      <c r="M344" s="39"/>
      <c r="N344" s="39"/>
      <c r="O344" s="39"/>
      <c r="P344" s="40"/>
      <c r="Q344" s="67"/>
      <c r="R344" s="43"/>
      <c r="S344" s="39"/>
      <c r="T344" s="39"/>
      <c r="U344" s="39"/>
      <c r="V344" s="39"/>
      <c r="W344" s="45"/>
      <c r="X344" s="47"/>
      <c r="Y344" s="39"/>
      <c r="Z344" s="41"/>
      <c r="AA344" s="32"/>
      <c r="AB344" s="32"/>
      <c r="AC344" s="32"/>
      <c r="AD344" s="32"/>
      <c r="AE344" s="32"/>
    </row>
    <row r="345" spans="1:3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72"/>
      <c r="L345" s="60"/>
      <c r="M345" s="37"/>
      <c r="N345" s="37"/>
      <c r="O345" s="37"/>
      <c r="P345" s="38"/>
      <c r="Q345" s="68"/>
      <c r="R345" s="42"/>
      <c r="S345" s="37"/>
      <c r="T345" s="37"/>
      <c r="U345" s="37"/>
      <c r="V345" s="37"/>
      <c r="W345" s="45"/>
      <c r="X345" s="47"/>
      <c r="Y345" s="39"/>
      <c r="Z345" s="39"/>
      <c r="AA345" s="33"/>
      <c r="AB345" s="33"/>
      <c r="AC345" s="33"/>
      <c r="AD345" s="33"/>
      <c r="AE345" s="33"/>
    </row>
    <row r="346" spans="1:3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71"/>
      <c r="L346" s="61"/>
      <c r="M346" s="39"/>
      <c r="N346" s="39"/>
      <c r="O346" s="39"/>
      <c r="P346" s="40"/>
      <c r="Q346" s="67"/>
      <c r="R346" s="43"/>
      <c r="S346" s="39"/>
      <c r="T346" s="39"/>
      <c r="U346" s="39"/>
      <c r="V346" s="39"/>
      <c r="W346" s="45"/>
      <c r="X346" s="47"/>
      <c r="Y346" s="39"/>
      <c r="Z346" s="39"/>
      <c r="AA346" s="32"/>
      <c r="AB346" s="32"/>
      <c r="AC346" s="32"/>
      <c r="AD346" s="32"/>
      <c r="AE346" s="32"/>
    </row>
    <row r="347" spans="1:3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71"/>
      <c r="L347" s="61"/>
      <c r="M347" s="39"/>
      <c r="N347" s="39"/>
      <c r="O347" s="39"/>
      <c r="P347" s="40"/>
      <c r="Q347" s="67"/>
      <c r="R347" s="43"/>
      <c r="S347" s="39"/>
      <c r="T347" s="39"/>
      <c r="U347" s="39"/>
      <c r="V347" s="39"/>
      <c r="W347" s="45"/>
      <c r="X347" s="47"/>
      <c r="Y347" s="39"/>
      <c r="Z347" s="39"/>
      <c r="AA347" s="32"/>
      <c r="AB347" s="32"/>
      <c r="AC347" s="32"/>
      <c r="AD347" s="32"/>
      <c r="AE347" s="32"/>
    </row>
    <row r="348" spans="1:3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71"/>
      <c r="L348" s="61"/>
      <c r="M348" s="39"/>
      <c r="N348" s="39"/>
      <c r="O348" s="39"/>
      <c r="P348" s="40"/>
      <c r="Q348" s="67"/>
      <c r="R348" s="43"/>
      <c r="S348" s="39"/>
      <c r="T348" s="39"/>
      <c r="U348" s="39"/>
      <c r="V348" s="39"/>
      <c r="W348" s="45"/>
      <c r="X348" s="47"/>
      <c r="Y348" s="39"/>
      <c r="Z348" s="39"/>
      <c r="AA348" s="32"/>
      <c r="AB348" s="32"/>
      <c r="AC348" s="32"/>
      <c r="AD348" s="32"/>
      <c r="AE348" s="32"/>
    </row>
    <row r="349" spans="1:3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71"/>
      <c r="L349" s="61"/>
      <c r="M349" s="39"/>
      <c r="N349" s="39"/>
      <c r="O349" s="39"/>
      <c r="P349" s="40"/>
      <c r="Q349" s="67"/>
      <c r="R349" s="43"/>
      <c r="S349" s="39"/>
      <c r="T349" s="39"/>
      <c r="U349" s="39"/>
      <c r="V349" s="39"/>
      <c r="W349" s="45"/>
      <c r="X349" s="47"/>
      <c r="Y349" s="39"/>
      <c r="Z349" s="39"/>
      <c r="AA349" s="32"/>
      <c r="AB349" s="32"/>
      <c r="AC349" s="32"/>
      <c r="AD349" s="32"/>
      <c r="AE349" s="32"/>
    </row>
    <row r="350" spans="1:31">
      <c r="K350" s="73"/>
      <c r="M350" s="70"/>
      <c r="Q350" s="69"/>
    </row>
    <row r="351" spans="1:3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71"/>
      <c r="L351" s="61"/>
      <c r="M351" s="39"/>
      <c r="N351" s="39"/>
      <c r="O351" s="39"/>
      <c r="P351" s="40"/>
      <c r="Q351" s="67"/>
      <c r="R351" s="43"/>
      <c r="S351" s="39"/>
      <c r="T351" s="39"/>
      <c r="U351" s="39"/>
      <c r="V351" s="39"/>
      <c r="W351" s="45"/>
      <c r="X351" s="47"/>
      <c r="Y351" s="39"/>
      <c r="Z351" s="41"/>
      <c r="AA351" s="32"/>
      <c r="AB351" s="32"/>
      <c r="AC351" s="32"/>
      <c r="AD351" s="32"/>
      <c r="AE351" s="32"/>
    </row>
    <row r="352" spans="1:3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71"/>
      <c r="L352" s="61"/>
      <c r="M352" s="39"/>
      <c r="N352" s="39"/>
      <c r="O352" s="39"/>
      <c r="P352" s="40"/>
      <c r="Q352" s="67"/>
      <c r="R352" s="43"/>
      <c r="S352" s="39"/>
      <c r="T352" s="39"/>
      <c r="U352" s="39"/>
      <c r="V352" s="39"/>
      <c r="W352" s="45"/>
      <c r="X352" s="47"/>
      <c r="Y352" s="39"/>
      <c r="Z352" s="41"/>
      <c r="AA352" s="32"/>
      <c r="AB352" s="32"/>
      <c r="AC352" s="32"/>
      <c r="AD352" s="32"/>
      <c r="AE352" s="32"/>
    </row>
    <row r="353" spans="1:3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71"/>
      <c r="L353" s="61"/>
      <c r="M353" s="39"/>
      <c r="N353" s="39"/>
      <c r="O353" s="39"/>
      <c r="P353" s="40"/>
      <c r="Q353" s="67"/>
      <c r="R353" s="43"/>
      <c r="S353" s="39"/>
      <c r="T353" s="39"/>
      <c r="U353" s="39"/>
      <c r="V353" s="39"/>
      <c r="W353" s="45"/>
      <c r="X353" s="47"/>
      <c r="Y353" s="39"/>
      <c r="Z353" s="41"/>
      <c r="AA353" s="32"/>
      <c r="AB353" s="32"/>
      <c r="AC353" s="32"/>
      <c r="AD353" s="32"/>
      <c r="AE353" s="32"/>
    </row>
    <row r="354" spans="1:3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72"/>
      <c r="L354" s="60"/>
      <c r="M354" s="37"/>
      <c r="N354" s="37"/>
      <c r="O354" s="37"/>
      <c r="P354" s="38"/>
      <c r="Q354" s="68"/>
      <c r="R354" s="42"/>
      <c r="S354" s="37"/>
      <c r="T354" s="37"/>
      <c r="U354" s="37"/>
      <c r="V354" s="37"/>
      <c r="W354" s="45"/>
      <c r="X354" s="47"/>
      <c r="Y354" s="39"/>
      <c r="Z354" s="39"/>
      <c r="AA354" s="33"/>
      <c r="AB354" s="33"/>
      <c r="AC354" s="33"/>
      <c r="AD354" s="33"/>
      <c r="AE354" s="33"/>
    </row>
    <row r="355" spans="1:3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71"/>
      <c r="L355" s="61"/>
      <c r="M355" s="39"/>
      <c r="N355" s="39"/>
      <c r="O355" s="39"/>
      <c r="P355" s="40"/>
      <c r="Q355" s="67"/>
      <c r="R355" s="43"/>
      <c r="S355" s="39"/>
      <c r="T355" s="39"/>
      <c r="U355" s="39"/>
      <c r="V355" s="39"/>
      <c r="W355" s="45"/>
      <c r="X355" s="47"/>
      <c r="Y355" s="39"/>
      <c r="Z355" s="39"/>
      <c r="AA355" s="32"/>
      <c r="AB355" s="32"/>
      <c r="AC355" s="32"/>
      <c r="AD355" s="32"/>
      <c r="AE355" s="32"/>
    </row>
    <row r="356" spans="1:3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71"/>
      <c r="L356" s="61"/>
      <c r="M356" s="39"/>
      <c r="N356" s="39"/>
      <c r="O356" s="39"/>
      <c r="P356" s="40"/>
      <c r="Q356" s="67"/>
      <c r="R356" s="43"/>
      <c r="S356" s="39"/>
      <c r="T356" s="39"/>
      <c r="U356" s="39"/>
      <c r="V356" s="39"/>
      <c r="W356" s="45"/>
      <c r="X356" s="47"/>
      <c r="Y356" s="39"/>
      <c r="Z356" s="39"/>
      <c r="AA356" s="32"/>
      <c r="AB356" s="32"/>
      <c r="AC356" s="32"/>
      <c r="AD356" s="32"/>
      <c r="AE356" s="32"/>
    </row>
    <row r="357" spans="1:3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71"/>
      <c r="L357" s="61"/>
      <c r="M357" s="39"/>
      <c r="N357" s="39"/>
      <c r="O357" s="39"/>
      <c r="P357" s="40"/>
      <c r="Q357" s="67"/>
      <c r="R357" s="43"/>
      <c r="S357" s="39"/>
      <c r="T357" s="39"/>
      <c r="U357" s="39"/>
      <c r="V357" s="39"/>
      <c r="W357" s="45"/>
      <c r="X357" s="47"/>
      <c r="Y357" s="39"/>
      <c r="Z357" s="39"/>
      <c r="AA357" s="32"/>
      <c r="AB357" s="32"/>
      <c r="AC357" s="32"/>
      <c r="AD357" s="32"/>
      <c r="AE357" s="32"/>
    </row>
    <row r="358" spans="1:3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71"/>
      <c r="L358" s="61"/>
      <c r="M358" s="39"/>
      <c r="N358" s="39"/>
      <c r="O358" s="39"/>
      <c r="P358" s="40"/>
      <c r="Q358" s="67"/>
      <c r="R358" s="43"/>
      <c r="S358" s="39"/>
      <c r="T358" s="39"/>
      <c r="U358" s="39"/>
      <c r="V358" s="39"/>
      <c r="W358" s="45"/>
      <c r="X358" s="47"/>
      <c r="Y358" s="39"/>
      <c r="Z358" s="39"/>
      <c r="AA358" s="32"/>
      <c r="AB358" s="32"/>
      <c r="AC358" s="32"/>
      <c r="AD358" s="32"/>
      <c r="AE358" s="32"/>
    </row>
    <row r="359" spans="1:31">
      <c r="K359" s="73"/>
      <c r="M359" s="70"/>
      <c r="Q359" s="69"/>
    </row>
    <row r="360" spans="1:3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71"/>
      <c r="L360" s="61"/>
      <c r="M360" s="39"/>
      <c r="N360" s="39"/>
      <c r="O360" s="39"/>
      <c r="P360" s="40"/>
      <c r="Q360" s="67"/>
      <c r="R360" s="43"/>
      <c r="S360" s="39"/>
      <c r="T360" s="39"/>
      <c r="U360" s="39"/>
      <c r="V360" s="39"/>
      <c r="W360" s="45"/>
      <c r="X360" s="47"/>
      <c r="Y360" s="39"/>
      <c r="Z360" s="41"/>
      <c r="AA360" s="32"/>
      <c r="AB360" s="32"/>
      <c r="AC360" s="32"/>
      <c r="AD360" s="32"/>
      <c r="AE360" s="32"/>
    </row>
    <row r="361" spans="1:3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71"/>
      <c r="L361" s="61"/>
      <c r="M361" s="39"/>
      <c r="N361" s="39"/>
      <c r="O361" s="39"/>
      <c r="P361" s="40"/>
      <c r="Q361" s="67"/>
      <c r="R361" s="43"/>
      <c r="S361" s="39"/>
      <c r="T361" s="39"/>
      <c r="U361" s="39"/>
      <c r="V361" s="39"/>
      <c r="W361" s="45"/>
      <c r="X361" s="47"/>
      <c r="Y361" s="39"/>
      <c r="Z361" s="41"/>
      <c r="AA361" s="32"/>
      <c r="AB361" s="32"/>
      <c r="AC361" s="32"/>
      <c r="AD361" s="32"/>
      <c r="AE361" s="32"/>
    </row>
    <row r="362" spans="1:3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71"/>
      <c r="L362" s="61"/>
      <c r="M362" s="39"/>
      <c r="N362" s="39"/>
      <c r="O362" s="39"/>
      <c r="P362" s="40"/>
      <c r="Q362" s="67"/>
      <c r="R362" s="43"/>
      <c r="S362" s="39"/>
      <c r="T362" s="39"/>
      <c r="U362" s="39"/>
      <c r="V362" s="39"/>
      <c r="W362" s="45"/>
      <c r="X362" s="47"/>
      <c r="Y362" s="39"/>
      <c r="Z362" s="41"/>
      <c r="AA362" s="32"/>
      <c r="AB362" s="32"/>
      <c r="AC362" s="32"/>
      <c r="AD362" s="32"/>
      <c r="AE362" s="32"/>
    </row>
    <row r="363" spans="1:3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72"/>
      <c r="L363" s="60"/>
      <c r="M363" s="37"/>
      <c r="N363" s="37"/>
      <c r="O363" s="37"/>
      <c r="P363" s="38"/>
      <c r="Q363" s="68"/>
      <c r="R363" s="42"/>
      <c r="S363" s="37"/>
      <c r="T363" s="37"/>
      <c r="U363" s="37"/>
      <c r="V363" s="37"/>
      <c r="W363" s="45"/>
      <c r="X363" s="47"/>
      <c r="Y363" s="39"/>
      <c r="Z363" s="39"/>
      <c r="AA363" s="33"/>
      <c r="AB363" s="33"/>
      <c r="AC363" s="33"/>
      <c r="AD363" s="33"/>
      <c r="AE363" s="33"/>
    </row>
    <row r="364" spans="1:3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71"/>
      <c r="L364" s="61"/>
      <c r="M364" s="39"/>
      <c r="N364" s="39"/>
      <c r="O364" s="39"/>
      <c r="P364" s="40"/>
      <c r="Q364" s="67"/>
      <c r="R364" s="43"/>
      <c r="S364" s="39"/>
      <c r="T364" s="39"/>
      <c r="U364" s="39"/>
      <c r="V364" s="39"/>
      <c r="W364" s="45"/>
      <c r="X364" s="47"/>
      <c r="Y364" s="39"/>
      <c r="Z364" s="39"/>
      <c r="AA364" s="32"/>
      <c r="AB364" s="32"/>
      <c r="AC364" s="32"/>
      <c r="AD364" s="32"/>
      <c r="AE364" s="32"/>
    </row>
    <row r="365" spans="1:3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71"/>
      <c r="L365" s="61"/>
      <c r="M365" s="39"/>
      <c r="N365" s="39"/>
      <c r="O365" s="39"/>
      <c r="P365" s="40"/>
      <c r="Q365" s="67"/>
      <c r="R365" s="43"/>
      <c r="S365" s="39"/>
      <c r="T365" s="39"/>
      <c r="U365" s="39"/>
      <c r="V365" s="39"/>
      <c r="W365" s="45"/>
      <c r="X365" s="47"/>
      <c r="Y365" s="39"/>
      <c r="Z365" s="39"/>
      <c r="AA365" s="32"/>
      <c r="AB365" s="32"/>
      <c r="AC365" s="32"/>
      <c r="AD365" s="32"/>
      <c r="AE365" s="32"/>
    </row>
    <row r="366" spans="1:3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71"/>
      <c r="L366" s="61"/>
      <c r="M366" s="39"/>
      <c r="N366" s="39"/>
      <c r="O366" s="39"/>
      <c r="P366" s="40"/>
      <c r="Q366" s="67"/>
      <c r="R366" s="43"/>
      <c r="S366" s="39"/>
      <c r="T366" s="39"/>
      <c r="U366" s="39"/>
      <c r="V366" s="39"/>
      <c r="W366" s="45"/>
      <c r="X366" s="47"/>
      <c r="Y366" s="39"/>
      <c r="Z366" s="39"/>
      <c r="AA366" s="32"/>
      <c r="AB366" s="32"/>
      <c r="AC366" s="32"/>
      <c r="AD366" s="32"/>
      <c r="AE366" s="32"/>
    </row>
    <row r="367" spans="1:3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71"/>
      <c r="L367" s="61"/>
      <c r="M367" s="39"/>
      <c r="N367" s="39"/>
      <c r="O367" s="39"/>
      <c r="P367" s="40"/>
      <c r="Q367" s="67"/>
      <c r="R367" s="43"/>
      <c r="S367" s="39"/>
      <c r="T367" s="39"/>
      <c r="U367" s="39"/>
      <c r="V367" s="39"/>
      <c r="W367" s="45"/>
      <c r="X367" s="47"/>
      <c r="Y367" s="39"/>
      <c r="Z367" s="39"/>
      <c r="AA367" s="32"/>
      <c r="AB367" s="32"/>
      <c r="AC367" s="32"/>
      <c r="AD367" s="32"/>
      <c r="AE367" s="32"/>
    </row>
    <row r="368" spans="1:31">
      <c r="K368" s="73"/>
      <c r="M368" s="70"/>
      <c r="Q368" s="69"/>
    </row>
    <row r="369" spans="1:3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71"/>
      <c r="L369" s="61"/>
      <c r="M369" s="39"/>
      <c r="N369" s="39"/>
      <c r="O369" s="39"/>
      <c r="P369" s="40"/>
      <c r="Q369" s="67"/>
      <c r="R369" s="43"/>
      <c r="S369" s="39"/>
      <c r="T369" s="39"/>
      <c r="U369" s="39"/>
      <c r="V369" s="39"/>
      <c r="W369" s="45"/>
      <c r="X369" s="47"/>
      <c r="Y369" s="39"/>
      <c r="Z369" s="41"/>
      <c r="AA369" s="32"/>
      <c r="AB369" s="32"/>
      <c r="AC369" s="32"/>
      <c r="AD369" s="32"/>
      <c r="AE369" s="32"/>
    </row>
    <row r="370" spans="1:3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71"/>
      <c r="L370" s="61"/>
      <c r="M370" s="39"/>
      <c r="N370" s="39"/>
      <c r="O370" s="39"/>
      <c r="P370" s="40"/>
      <c r="Q370" s="67"/>
      <c r="R370" s="43"/>
      <c r="S370" s="39"/>
      <c r="T370" s="39"/>
      <c r="U370" s="39"/>
      <c r="V370" s="39"/>
      <c r="W370" s="45"/>
      <c r="X370" s="47"/>
      <c r="Y370" s="39"/>
      <c r="Z370" s="41"/>
      <c r="AA370" s="32"/>
      <c r="AB370" s="32"/>
      <c r="AC370" s="32"/>
      <c r="AD370" s="32"/>
      <c r="AE370" s="32"/>
    </row>
    <row r="371" spans="1:3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71"/>
      <c r="L371" s="61"/>
      <c r="M371" s="39"/>
      <c r="N371" s="39"/>
      <c r="O371" s="39"/>
      <c r="P371" s="40"/>
      <c r="Q371" s="67"/>
      <c r="R371" s="43"/>
      <c r="S371" s="39"/>
      <c r="T371" s="39"/>
      <c r="U371" s="39"/>
      <c r="V371" s="39"/>
      <c r="W371" s="45"/>
      <c r="X371" s="47"/>
      <c r="Y371" s="39"/>
      <c r="Z371" s="41"/>
      <c r="AA371" s="32"/>
      <c r="AB371" s="32"/>
      <c r="AC371" s="32"/>
      <c r="AD371" s="32"/>
      <c r="AE371" s="32"/>
    </row>
    <row r="372" spans="1:3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72"/>
      <c r="L372" s="60"/>
      <c r="M372" s="37"/>
      <c r="N372" s="37"/>
      <c r="O372" s="37"/>
      <c r="P372" s="38"/>
      <c r="Q372" s="68"/>
      <c r="R372" s="42"/>
      <c r="S372" s="37"/>
      <c r="T372" s="37"/>
      <c r="U372" s="37"/>
      <c r="V372" s="37"/>
      <c r="W372" s="45"/>
      <c r="X372" s="47"/>
      <c r="Y372" s="39"/>
      <c r="Z372" s="39"/>
      <c r="AA372" s="33"/>
      <c r="AB372" s="33"/>
      <c r="AC372" s="33"/>
      <c r="AD372" s="33"/>
      <c r="AE372" s="33"/>
    </row>
    <row r="373" spans="1:3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71"/>
      <c r="L373" s="61"/>
      <c r="M373" s="39"/>
      <c r="N373" s="39"/>
      <c r="O373" s="39"/>
      <c r="P373" s="40"/>
      <c r="Q373" s="67"/>
      <c r="R373" s="43"/>
      <c r="S373" s="39"/>
      <c r="T373" s="39"/>
      <c r="U373" s="39"/>
      <c r="V373" s="39"/>
      <c r="W373" s="45"/>
      <c r="X373" s="47"/>
      <c r="Y373" s="39"/>
      <c r="Z373" s="39"/>
      <c r="AA373" s="32"/>
      <c r="AB373" s="32"/>
      <c r="AC373" s="32"/>
      <c r="AD373" s="32"/>
      <c r="AE373" s="32"/>
    </row>
    <row r="374" spans="1:3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71"/>
      <c r="L374" s="61"/>
      <c r="M374" s="39"/>
      <c r="N374" s="39"/>
      <c r="O374" s="39"/>
      <c r="P374" s="40"/>
      <c r="Q374" s="67"/>
      <c r="R374" s="43"/>
      <c r="S374" s="39"/>
      <c r="T374" s="39"/>
      <c r="U374" s="39"/>
      <c r="V374" s="39"/>
      <c r="W374" s="45"/>
      <c r="X374" s="47"/>
      <c r="Y374" s="39"/>
      <c r="Z374" s="39"/>
      <c r="AA374" s="32"/>
      <c r="AB374" s="32"/>
      <c r="AC374" s="32"/>
      <c r="AD374" s="32"/>
      <c r="AE374" s="32"/>
    </row>
    <row r="375" spans="1:3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71"/>
      <c r="L375" s="61"/>
      <c r="M375" s="39"/>
      <c r="N375" s="39"/>
      <c r="O375" s="39"/>
      <c r="P375" s="40"/>
      <c r="Q375" s="67"/>
      <c r="R375" s="43"/>
      <c r="S375" s="39"/>
      <c r="T375" s="39"/>
      <c r="U375" s="39"/>
      <c r="V375" s="39"/>
      <c r="W375" s="45"/>
      <c r="X375" s="47"/>
      <c r="Y375" s="39"/>
      <c r="Z375" s="39"/>
      <c r="AA375" s="32"/>
      <c r="AB375" s="32"/>
      <c r="AC375" s="32"/>
      <c r="AD375" s="32"/>
      <c r="AE375" s="32"/>
    </row>
    <row r="376" spans="1:3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71"/>
      <c r="L376" s="61"/>
      <c r="M376" s="39"/>
      <c r="N376" s="39"/>
      <c r="O376" s="39"/>
      <c r="P376" s="40"/>
      <c r="Q376" s="67"/>
      <c r="R376" s="43"/>
      <c r="S376" s="39"/>
      <c r="T376" s="39"/>
      <c r="U376" s="39"/>
      <c r="V376" s="39"/>
      <c r="W376" s="45"/>
      <c r="X376" s="47"/>
      <c r="Y376" s="39"/>
      <c r="Z376" s="39"/>
      <c r="AA376" s="32"/>
      <c r="AB376" s="32"/>
      <c r="AC376" s="32"/>
      <c r="AD376" s="32"/>
      <c r="AE376" s="32"/>
    </row>
    <row r="377" spans="1:31">
      <c r="K377" s="73"/>
      <c r="M377" s="70"/>
      <c r="Q377" s="69"/>
    </row>
    <row r="378" spans="1:3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71"/>
      <c r="L378" s="61"/>
      <c r="M378" s="39"/>
      <c r="N378" s="39"/>
      <c r="O378" s="39"/>
      <c r="P378" s="40"/>
      <c r="Q378" s="67"/>
      <c r="R378" s="43"/>
      <c r="S378" s="39"/>
      <c r="T378" s="39"/>
      <c r="U378" s="39"/>
      <c r="V378" s="39"/>
      <c r="W378" s="45"/>
      <c r="X378" s="47"/>
      <c r="Y378" s="39"/>
      <c r="Z378" s="41"/>
      <c r="AA378" s="32"/>
      <c r="AB378" s="32"/>
      <c r="AC378" s="32"/>
      <c r="AD378" s="32"/>
      <c r="AE378" s="32"/>
    </row>
    <row r="379" spans="1:3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71"/>
      <c r="L379" s="61"/>
      <c r="M379" s="39"/>
      <c r="N379" s="39"/>
      <c r="O379" s="39"/>
      <c r="P379" s="40"/>
      <c r="Q379" s="67"/>
      <c r="R379" s="43"/>
      <c r="S379" s="39"/>
      <c r="T379" s="39"/>
      <c r="U379" s="39"/>
      <c r="V379" s="39"/>
      <c r="W379" s="45"/>
      <c r="X379" s="47"/>
      <c r="Y379" s="39"/>
      <c r="Z379" s="41"/>
      <c r="AA379" s="32"/>
      <c r="AB379" s="32"/>
      <c r="AC379" s="32"/>
      <c r="AD379" s="32"/>
      <c r="AE379" s="32"/>
    </row>
    <row r="380" spans="1:3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71"/>
      <c r="L380" s="61"/>
      <c r="M380" s="39"/>
      <c r="N380" s="39"/>
      <c r="O380" s="39"/>
      <c r="P380" s="40"/>
      <c r="Q380" s="67"/>
      <c r="R380" s="43"/>
      <c r="S380" s="39"/>
      <c r="T380" s="39"/>
      <c r="U380" s="39"/>
      <c r="V380" s="39"/>
      <c r="W380" s="45"/>
      <c r="X380" s="47"/>
      <c r="Y380" s="39"/>
      <c r="Z380" s="41"/>
      <c r="AA380" s="32"/>
      <c r="AB380" s="32"/>
      <c r="AC380" s="32"/>
      <c r="AD380" s="32"/>
      <c r="AE380" s="32"/>
    </row>
    <row r="381" spans="1:3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72"/>
      <c r="L381" s="60"/>
      <c r="M381" s="37"/>
      <c r="N381" s="37"/>
      <c r="O381" s="37"/>
      <c r="P381" s="38"/>
      <c r="Q381" s="68"/>
      <c r="R381" s="42"/>
      <c r="S381" s="37"/>
      <c r="T381" s="37"/>
      <c r="U381" s="37"/>
      <c r="V381" s="37"/>
      <c r="W381" s="45"/>
      <c r="X381" s="47"/>
      <c r="Y381" s="39"/>
      <c r="Z381" s="39"/>
      <c r="AA381" s="33"/>
      <c r="AB381" s="33"/>
      <c r="AC381" s="33"/>
      <c r="AD381" s="33"/>
      <c r="AE381" s="33"/>
    </row>
    <row r="382" spans="1:3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71"/>
      <c r="L382" s="61"/>
      <c r="M382" s="39"/>
      <c r="N382" s="39"/>
      <c r="O382" s="39"/>
      <c r="P382" s="40"/>
      <c r="Q382" s="67"/>
      <c r="R382" s="43"/>
      <c r="S382" s="39"/>
      <c r="T382" s="39"/>
      <c r="U382" s="39"/>
      <c r="V382" s="39"/>
      <c r="W382" s="45"/>
      <c r="X382" s="47"/>
      <c r="Y382" s="39"/>
      <c r="Z382" s="39"/>
      <c r="AA382" s="32"/>
      <c r="AB382" s="32"/>
      <c r="AC382" s="32"/>
      <c r="AD382" s="32"/>
      <c r="AE382" s="32"/>
    </row>
    <row r="383" spans="1:3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71"/>
      <c r="L383" s="61"/>
      <c r="M383" s="39"/>
      <c r="N383" s="39"/>
      <c r="O383" s="39"/>
      <c r="P383" s="40"/>
      <c r="Q383" s="67"/>
      <c r="R383" s="43"/>
      <c r="S383" s="39"/>
      <c r="T383" s="39"/>
      <c r="U383" s="39"/>
      <c r="V383" s="39"/>
      <c r="W383" s="45"/>
      <c r="X383" s="47"/>
      <c r="Y383" s="39"/>
      <c r="Z383" s="39"/>
      <c r="AA383" s="32"/>
      <c r="AB383" s="32"/>
      <c r="AC383" s="32"/>
      <c r="AD383" s="32"/>
      <c r="AE383" s="32"/>
    </row>
    <row r="384" spans="1:3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71"/>
      <c r="L384" s="61"/>
      <c r="M384" s="39"/>
      <c r="N384" s="39"/>
      <c r="O384" s="39"/>
      <c r="P384" s="40"/>
      <c r="Q384" s="67"/>
      <c r="R384" s="43"/>
      <c r="S384" s="39"/>
      <c r="T384" s="39"/>
      <c r="U384" s="39"/>
      <c r="V384" s="39"/>
      <c r="W384" s="45"/>
      <c r="X384" s="47"/>
      <c r="Y384" s="39"/>
      <c r="Z384" s="39"/>
      <c r="AA384" s="32"/>
      <c r="AB384" s="32"/>
      <c r="AC384" s="32"/>
      <c r="AD384" s="32"/>
      <c r="AE384" s="32"/>
    </row>
    <row r="385" spans="1:3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71"/>
      <c r="L385" s="61"/>
      <c r="M385" s="39"/>
      <c r="N385" s="39"/>
      <c r="O385" s="39"/>
      <c r="P385" s="40"/>
      <c r="Q385" s="67"/>
      <c r="R385" s="43"/>
      <c r="S385" s="39"/>
      <c r="T385" s="39"/>
      <c r="U385" s="39"/>
      <c r="V385" s="39"/>
      <c r="W385" s="45"/>
      <c r="X385" s="47"/>
      <c r="Y385" s="39"/>
      <c r="Z385" s="39"/>
      <c r="AA385" s="32"/>
      <c r="AB385" s="32"/>
      <c r="AC385" s="32"/>
      <c r="AD385" s="32"/>
      <c r="AE385" s="32"/>
    </row>
    <row r="386" spans="1:31">
      <c r="K386" s="73"/>
      <c r="M386" s="70"/>
      <c r="N386" s="70"/>
      <c r="O386" s="70"/>
      <c r="Q386" s="69"/>
      <c r="R386" s="70"/>
      <c r="U386" s="70"/>
      <c r="W386" s="74"/>
      <c r="X386" s="70"/>
      <c r="Y386" s="70"/>
      <c r="Z386" s="70"/>
    </row>
    <row r="387" spans="1:3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71"/>
      <c r="L387" s="61"/>
      <c r="M387" s="39"/>
      <c r="N387" s="39"/>
      <c r="O387" s="39"/>
      <c r="P387" s="40"/>
      <c r="Q387" s="67"/>
      <c r="R387" s="43"/>
      <c r="S387" s="39"/>
      <c r="T387" s="39"/>
      <c r="U387" s="39"/>
      <c r="V387" s="39"/>
      <c r="W387" s="45"/>
      <c r="X387" s="47"/>
      <c r="Y387" s="39"/>
      <c r="Z387" s="41"/>
      <c r="AA387" s="32"/>
      <c r="AB387" s="32"/>
      <c r="AC387" s="32"/>
      <c r="AD387" s="32"/>
      <c r="AE387" s="32"/>
    </row>
    <row r="388" spans="1:3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71"/>
      <c r="L388" s="61"/>
      <c r="M388" s="39"/>
      <c r="N388" s="39"/>
      <c r="O388" s="39"/>
      <c r="P388" s="40"/>
      <c r="Q388" s="67"/>
      <c r="R388" s="43"/>
      <c r="S388" s="39"/>
      <c r="T388" s="39"/>
      <c r="U388" s="39"/>
      <c r="V388" s="39"/>
      <c r="W388" s="45"/>
      <c r="X388" s="47"/>
      <c r="Y388" s="39"/>
      <c r="Z388" s="41"/>
      <c r="AA388" s="32"/>
      <c r="AB388" s="32"/>
      <c r="AC388" s="32"/>
      <c r="AD388" s="32"/>
      <c r="AE388" s="32"/>
    </row>
    <row r="389" spans="1:3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71"/>
      <c r="L389" s="61"/>
      <c r="M389" s="39"/>
      <c r="N389" s="39"/>
      <c r="O389" s="39"/>
      <c r="P389" s="40"/>
      <c r="Q389" s="67"/>
      <c r="R389" s="43"/>
      <c r="S389" s="39"/>
      <c r="T389" s="39"/>
      <c r="U389" s="39"/>
      <c r="V389" s="39"/>
      <c r="W389" s="45"/>
      <c r="X389" s="47"/>
      <c r="Y389" s="39"/>
      <c r="Z389" s="41"/>
      <c r="AA389" s="32"/>
      <c r="AB389" s="32"/>
      <c r="AC389" s="32"/>
      <c r="AD389" s="32"/>
      <c r="AE389" s="32"/>
    </row>
    <row r="390" spans="1:3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72"/>
      <c r="L390" s="60"/>
      <c r="M390" s="37"/>
      <c r="N390" s="37"/>
      <c r="O390" s="37"/>
      <c r="P390" s="38"/>
      <c r="Q390" s="68"/>
      <c r="R390" s="42"/>
      <c r="S390" s="37"/>
      <c r="T390" s="37"/>
      <c r="U390" s="37"/>
      <c r="V390" s="37"/>
      <c r="W390" s="45"/>
      <c r="X390" s="47"/>
      <c r="Y390" s="39"/>
      <c r="Z390" s="39"/>
      <c r="AA390" s="33"/>
      <c r="AB390" s="33"/>
      <c r="AC390" s="33"/>
      <c r="AD390" s="33"/>
      <c r="AE390" s="33"/>
    </row>
    <row r="391" spans="1:3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71"/>
      <c r="L391" s="61"/>
      <c r="M391" s="39"/>
      <c r="N391" s="39"/>
      <c r="O391" s="39"/>
      <c r="P391" s="40"/>
      <c r="Q391" s="67"/>
      <c r="R391" s="43"/>
      <c r="S391" s="39"/>
      <c r="T391" s="39"/>
      <c r="U391" s="39"/>
      <c r="V391" s="39"/>
      <c r="W391" s="45"/>
      <c r="X391" s="47"/>
      <c r="Y391" s="39"/>
      <c r="Z391" s="39"/>
      <c r="AA391" s="32"/>
      <c r="AB391" s="32"/>
      <c r="AC391" s="32"/>
      <c r="AD391" s="32"/>
      <c r="AE391" s="32"/>
    </row>
    <row r="392" spans="1:3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71"/>
      <c r="L392" s="61"/>
      <c r="M392" s="39"/>
      <c r="N392" s="39"/>
      <c r="O392" s="39"/>
      <c r="P392" s="40"/>
      <c r="Q392" s="67"/>
      <c r="R392" s="43"/>
      <c r="S392" s="39"/>
      <c r="T392" s="39"/>
      <c r="U392" s="39"/>
      <c r="V392" s="39"/>
      <c r="W392" s="45"/>
      <c r="X392" s="47"/>
      <c r="Y392" s="39"/>
      <c r="Z392" s="39"/>
      <c r="AA392" s="32"/>
      <c r="AB392" s="32"/>
      <c r="AC392" s="32"/>
      <c r="AD392" s="32"/>
      <c r="AE392" s="32"/>
    </row>
    <row r="393" spans="1:3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71"/>
      <c r="L393" s="61"/>
      <c r="M393" s="39"/>
      <c r="N393" s="39"/>
      <c r="O393" s="39"/>
      <c r="P393" s="40"/>
      <c r="Q393" s="67"/>
      <c r="R393" s="43"/>
      <c r="S393" s="39"/>
      <c r="T393" s="39"/>
      <c r="U393" s="39"/>
      <c r="V393" s="39"/>
      <c r="W393" s="45"/>
      <c r="X393" s="47"/>
      <c r="Y393" s="39"/>
      <c r="Z393" s="39"/>
      <c r="AA393" s="32"/>
      <c r="AB393" s="32"/>
      <c r="AC393" s="32"/>
      <c r="AD393" s="32"/>
      <c r="AE393" s="32"/>
    </row>
    <row r="394" spans="1:3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71"/>
      <c r="L394" s="61"/>
      <c r="M394" s="39"/>
      <c r="N394" s="39"/>
      <c r="O394" s="39"/>
      <c r="P394" s="40"/>
      <c r="Q394" s="67"/>
      <c r="R394" s="43"/>
      <c r="S394" s="39"/>
      <c r="T394" s="39"/>
      <c r="U394" s="39"/>
      <c r="V394" s="39"/>
      <c r="W394" s="45"/>
      <c r="X394" s="47"/>
      <c r="Y394" s="39"/>
      <c r="Z394" s="39"/>
      <c r="AA394" s="32"/>
      <c r="AB394" s="32"/>
      <c r="AC394" s="32"/>
      <c r="AD394" s="32"/>
      <c r="AE394" s="32"/>
    </row>
    <row r="395" spans="1:31">
      <c r="K395" s="73"/>
      <c r="M395" s="70"/>
      <c r="O395" s="70"/>
      <c r="Q395" s="69"/>
      <c r="R395" s="70"/>
      <c r="S395" s="70"/>
      <c r="X395" s="70"/>
      <c r="Y395" s="70"/>
      <c r="Z395" s="70"/>
    </row>
    <row r="396" spans="1:3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71"/>
      <c r="L396" s="61"/>
      <c r="M396" s="39"/>
      <c r="N396" s="39"/>
      <c r="O396" s="39"/>
      <c r="P396" s="40"/>
      <c r="Q396" s="67"/>
      <c r="R396" s="43"/>
      <c r="S396" s="39"/>
      <c r="T396" s="39"/>
      <c r="U396" s="39"/>
      <c r="V396" s="39"/>
      <c r="W396" s="45"/>
      <c r="X396" s="47"/>
      <c r="Y396" s="39"/>
      <c r="Z396" s="41"/>
      <c r="AA396" s="32"/>
      <c r="AB396" s="32"/>
      <c r="AC396" s="32"/>
      <c r="AD396" s="32"/>
      <c r="AE396" s="32"/>
    </row>
    <row r="397" spans="1:3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71"/>
      <c r="L397" s="61"/>
      <c r="M397" s="39"/>
      <c r="N397" s="39"/>
      <c r="O397" s="39"/>
      <c r="P397" s="40"/>
      <c r="Q397" s="67"/>
      <c r="R397" s="43"/>
      <c r="S397" s="39"/>
      <c r="T397" s="39"/>
      <c r="U397" s="39"/>
      <c r="V397" s="39"/>
      <c r="W397" s="45"/>
      <c r="X397" s="47"/>
      <c r="Y397" s="39"/>
      <c r="Z397" s="41"/>
      <c r="AA397" s="32"/>
      <c r="AB397" s="32"/>
      <c r="AC397" s="32"/>
      <c r="AD397" s="32"/>
      <c r="AE397" s="32"/>
    </row>
    <row r="398" spans="1:3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71"/>
      <c r="L398" s="61"/>
      <c r="M398" s="39"/>
      <c r="N398" s="39"/>
      <c r="O398" s="39"/>
      <c r="P398" s="40"/>
      <c r="Q398" s="67"/>
      <c r="R398" s="43"/>
      <c r="S398" s="39"/>
      <c r="T398" s="39"/>
      <c r="U398" s="39"/>
      <c r="V398" s="39"/>
      <c r="W398" s="45"/>
      <c r="X398" s="47"/>
      <c r="Y398" s="39"/>
      <c r="Z398" s="41"/>
      <c r="AA398" s="32"/>
      <c r="AB398" s="32"/>
      <c r="AC398" s="32"/>
      <c r="AD398" s="32"/>
      <c r="AE398" s="32"/>
    </row>
    <row r="399" spans="1:3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72"/>
      <c r="L399" s="60"/>
      <c r="M399" s="37"/>
      <c r="N399" s="37"/>
      <c r="O399" s="37"/>
      <c r="P399" s="38"/>
      <c r="Q399" s="68"/>
      <c r="R399" s="42"/>
      <c r="S399" s="37"/>
      <c r="T399" s="37"/>
      <c r="U399" s="37"/>
      <c r="V399" s="37"/>
      <c r="W399" s="45"/>
      <c r="X399" s="47"/>
      <c r="Y399" s="39"/>
      <c r="Z399" s="39"/>
      <c r="AA399" s="33"/>
      <c r="AB399" s="33"/>
      <c r="AC399" s="33"/>
      <c r="AD399" s="33"/>
      <c r="AE399" s="33"/>
    </row>
    <row r="400" spans="1:3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71"/>
      <c r="L400" s="61"/>
      <c r="M400" s="39"/>
      <c r="N400" s="39"/>
      <c r="O400" s="39"/>
      <c r="P400" s="40"/>
      <c r="Q400" s="67"/>
      <c r="R400" s="43"/>
      <c r="S400" s="39"/>
      <c r="T400" s="39"/>
      <c r="U400" s="39"/>
      <c r="V400" s="39"/>
      <c r="W400" s="45"/>
      <c r="X400" s="47"/>
      <c r="Y400" s="39"/>
      <c r="Z400" s="39"/>
      <c r="AA400" s="32"/>
      <c r="AB400" s="32"/>
      <c r="AC400" s="32"/>
      <c r="AD400" s="32"/>
      <c r="AE400" s="32"/>
    </row>
    <row r="401" spans="1:3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71"/>
      <c r="L401" s="61"/>
      <c r="M401" s="39"/>
      <c r="N401" s="39"/>
      <c r="O401" s="39"/>
      <c r="P401" s="40"/>
      <c r="Q401" s="67"/>
      <c r="R401" s="43"/>
      <c r="S401" s="39"/>
      <c r="T401" s="39"/>
      <c r="U401" s="39"/>
      <c r="V401" s="39"/>
      <c r="W401" s="45"/>
      <c r="X401" s="47"/>
      <c r="Y401" s="39"/>
      <c r="Z401" s="39"/>
      <c r="AA401" s="32"/>
      <c r="AB401" s="32"/>
      <c r="AC401" s="32"/>
      <c r="AD401" s="32"/>
      <c r="AE401" s="32"/>
    </row>
    <row r="402" spans="1:3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71"/>
      <c r="L402" s="61"/>
      <c r="M402" s="39"/>
      <c r="N402" s="39"/>
      <c r="O402" s="39"/>
      <c r="P402" s="40"/>
      <c r="Q402" s="67"/>
      <c r="R402" s="43"/>
      <c r="S402" s="39"/>
      <c r="T402" s="39"/>
      <c r="U402" s="39"/>
      <c r="V402" s="39"/>
      <c r="W402" s="45"/>
      <c r="X402" s="47"/>
      <c r="Y402" s="39"/>
      <c r="Z402" s="39"/>
      <c r="AA402" s="32"/>
      <c r="AB402" s="32"/>
      <c r="AC402" s="32"/>
      <c r="AD402" s="32"/>
      <c r="AE402" s="32"/>
    </row>
    <row r="403" spans="1:3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71"/>
      <c r="L403" s="61"/>
      <c r="M403" s="39"/>
      <c r="N403" s="39"/>
      <c r="O403" s="39"/>
      <c r="P403" s="40"/>
      <c r="Q403" s="67"/>
      <c r="R403" s="43"/>
      <c r="S403" s="39"/>
      <c r="T403" s="39"/>
      <c r="U403" s="39"/>
      <c r="V403" s="39"/>
      <c r="W403" s="45"/>
      <c r="X403" s="47"/>
      <c r="Y403" s="39"/>
      <c r="Z403" s="39"/>
      <c r="AA403" s="32"/>
      <c r="AB403" s="32"/>
      <c r="AC403" s="32"/>
      <c r="AD403" s="32"/>
      <c r="AE403" s="32"/>
    </row>
    <row r="404" spans="1:31">
      <c r="K404" s="73"/>
      <c r="M404" s="70"/>
      <c r="O404" s="70"/>
      <c r="Q404" s="69"/>
      <c r="R404" s="70"/>
      <c r="T404" s="70"/>
    </row>
    <row r="405" spans="1:3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71"/>
      <c r="L405" s="61"/>
      <c r="M405" s="39"/>
      <c r="N405" s="39"/>
      <c r="O405" s="39"/>
      <c r="P405" s="40"/>
      <c r="Q405" s="67"/>
      <c r="R405" s="43"/>
      <c r="S405" s="39"/>
      <c r="T405" s="39"/>
      <c r="U405" s="39"/>
      <c r="V405" s="39"/>
      <c r="W405" s="45"/>
      <c r="X405" s="47"/>
      <c r="Y405" s="39"/>
      <c r="Z405" s="41"/>
      <c r="AA405" s="32"/>
      <c r="AB405" s="32"/>
      <c r="AC405" s="32"/>
      <c r="AD405" s="32"/>
      <c r="AE405" s="32"/>
    </row>
    <row r="406" spans="1:3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71"/>
      <c r="L406" s="61"/>
      <c r="M406" s="39"/>
      <c r="N406" s="39"/>
      <c r="O406" s="39"/>
      <c r="P406" s="40"/>
      <c r="Q406" s="67"/>
      <c r="R406" s="43"/>
      <c r="S406" s="39"/>
      <c r="T406" s="39"/>
      <c r="U406" s="39"/>
      <c r="V406" s="39"/>
      <c r="W406" s="45"/>
      <c r="X406" s="47"/>
      <c r="Y406" s="39"/>
      <c r="Z406" s="41"/>
      <c r="AA406" s="32"/>
      <c r="AB406" s="32"/>
      <c r="AC406" s="32"/>
      <c r="AD406" s="32"/>
      <c r="AE406" s="32"/>
    </row>
    <row r="407" spans="1:3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71"/>
      <c r="L407" s="61"/>
      <c r="M407" s="39"/>
      <c r="N407" s="39"/>
      <c r="O407" s="39"/>
      <c r="P407" s="40"/>
      <c r="Q407" s="67"/>
      <c r="R407" s="43"/>
      <c r="S407" s="39"/>
      <c r="T407" s="39"/>
      <c r="U407" s="39"/>
      <c r="V407" s="39"/>
      <c r="W407" s="45"/>
      <c r="X407" s="47"/>
      <c r="Y407" s="39"/>
      <c r="Z407" s="41"/>
      <c r="AA407" s="32"/>
      <c r="AB407" s="32"/>
      <c r="AC407" s="32"/>
      <c r="AD407" s="32"/>
      <c r="AE407" s="32"/>
    </row>
    <row r="408" spans="1:3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72"/>
      <c r="L408" s="60"/>
      <c r="M408" s="37"/>
      <c r="N408" s="37"/>
      <c r="O408" s="37"/>
      <c r="P408" s="38"/>
      <c r="Q408" s="68"/>
      <c r="R408" s="42"/>
      <c r="S408" s="37"/>
      <c r="T408" s="37"/>
      <c r="U408" s="37"/>
      <c r="V408" s="37"/>
      <c r="W408" s="45"/>
      <c r="X408" s="47"/>
      <c r="Y408" s="39"/>
      <c r="Z408" s="39"/>
      <c r="AA408" s="33"/>
      <c r="AB408" s="33"/>
      <c r="AC408" s="33"/>
      <c r="AD408" s="33"/>
      <c r="AE408" s="33"/>
    </row>
    <row r="409" spans="1:3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71"/>
      <c r="L409" s="61"/>
      <c r="M409" s="39"/>
      <c r="N409" s="39"/>
      <c r="O409" s="39"/>
      <c r="P409" s="40"/>
      <c r="Q409" s="67"/>
      <c r="R409" s="43"/>
      <c r="S409" s="39"/>
      <c r="T409" s="39"/>
      <c r="U409" s="39"/>
      <c r="V409" s="39"/>
      <c r="W409" s="45"/>
      <c r="X409" s="47"/>
      <c r="Y409" s="39"/>
      <c r="Z409" s="39"/>
      <c r="AA409" s="32"/>
      <c r="AB409" s="32"/>
      <c r="AC409" s="32"/>
      <c r="AD409" s="32"/>
      <c r="AE409" s="32"/>
    </row>
    <row r="410" spans="1:3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71"/>
      <c r="L410" s="61"/>
      <c r="M410" s="39"/>
      <c r="N410" s="39"/>
      <c r="O410" s="39"/>
      <c r="P410" s="40"/>
      <c r="Q410" s="67"/>
      <c r="R410" s="43"/>
      <c r="S410" s="39"/>
      <c r="T410" s="39"/>
      <c r="U410" s="39"/>
      <c r="V410" s="39"/>
      <c r="W410" s="45"/>
      <c r="X410" s="47"/>
      <c r="Y410" s="39"/>
      <c r="Z410" s="39"/>
      <c r="AA410" s="32"/>
      <c r="AB410" s="32"/>
      <c r="AC410" s="32"/>
      <c r="AD410" s="32"/>
      <c r="AE410" s="32"/>
    </row>
    <row r="411" spans="1:3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71"/>
      <c r="L411" s="61"/>
      <c r="M411" s="39"/>
      <c r="N411" s="39"/>
      <c r="O411" s="39"/>
      <c r="P411" s="40"/>
      <c r="Q411" s="67"/>
      <c r="R411" s="43"/>
      <c r="S411" s="39"/>
      <c r="T411" s="39"/>
      <c r="U411" s="39"/>
      <c r="V411" s="39"/>
      <c r="W411" s="45"/>
      <c r="X411" s="47"/>
      <c r="Y411" s="39"/>
      <c r="Z411" s="39"/>
      <c r="AA411" s="32"/>
      <c r="AB411" s="32"/>
      <c r="AC411" s="32"/>
      <c r="AD411" s="32"/>
      <c r="AE411" s="32"/>
    </row>
    <row r="412" spans="1:3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71"/>
      <c r="L412" s="61"/>
      <c r="M412" s="39"/>
      <c r="N412" s="39"/>
      <c r="O412" s="39"/>
      <c r="P412" s="40"/>
      <c r="Q412" s="67"/>
      <c r="R412" s="43"/>
      <c r="S412" s="39"/>
      <c r="T412" s="39"/>
      <c r="U412" s="39"/>
      <c r="V412" s="39"/>
      <c r="W412" s="45"/>
      <c r="X412" s="47"/>
      <c r="Y412" s="39"/>
      <c r="Z412" s="39"/>
      <c r="AA412" s="32"/>
      <c r="AB412" s="32"/>
      <c r="AC412" s="32"/>
      <c r="AD412" s="32"/>
      <c r="AE412" s="32"/>
    </row>
    <row r="413" spans="1:31">
      <c r="K413" s="73"/>
      <c r="M413" s="70"/>
      <c r="P413" s="70"/>
      <c r="Q413" s="69"/>
      <c r="R413" s="70"/>
      <c r="S413" s="70"/>
      <c r="W413" s="74"/>
      <c r="X413" s="70"/>
      <c r="Y413" s="70"/>
      <c r="Z413" s="70"/>
    </row>
    <row r="414" spans="1:3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71"/>
      <c r="L414" s="61"/>
      <c r="M414" s="39"/>
      <c r="N414" s="39"/>
      <c r="O414" s="39"/>
      <c r="P414" s="40"/>
      <c r="Q414" s="67"/>
      <c r="R414" s="43"/>
      <c r="S414" s="39"/>
      <c r="T414" s="39"/>
      <c r="U414" s="39"/>
      <c r="V414" s="39"/>
      <c r="W414" s="45"/>
      <c r="X414" s="47"/>
      <c r="Y414" s="39"/>
      <c r="Z414" s="41"/>
      <c r="AA414" s="32"/>
      <c r="AB414" s="32"/>
      <c r="AC414" s="32"/>
      <c r="AD414" s="32"/>
      <c r="AE414" s="32"/>
    </row>
    <row r="415" spans="1:3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71"/>
      <c r="L415" s="61"/>
      <c r="M415" s="39"/>
      <c r="N415" s="39"/>
      <c r="O415" s="39"/>
      <c r="P415" s="40"/>
      <c r="Q415" s="67"/>
      <c r="R415" s="43"/>
      <c r="S415" s="39"/>
      <c r="T415" s="39"/>
      <c r="U415" s="39"/>
      <c r="V415" s="39"/>
      <c r="W415" s="45"/>
      <c r="X415" s="47"/>
      <c r="Y415" s="39"/>
      <c r="Z415" s="41"/>
      <c r="AA415" s="32"/>
      <c r="AB415" s="32"/>
      <c r="AC415" s="32"/>
      <c r="AD415" s="32"/>
      <c r="AE415" s="32"/>
    </row>
    <row r="416" spans="1:3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71"/>
      <c r="L416" s="61"/>
      <c r="M416" s="39"/>
      <c r="N416" s="39"/>
      <c r="O416" s="39"/>
      <c r="P416" s="40"/>
      <c r="Q416" s="67"/>
      <c r="R416" s="43"/>
      <c r="S416" s="39"/>
      <c r="T416" s="39"/>
      <c r="U416" s="39"/>
      <c r="V416" s="39"/>
      <c r="W416" s="45"/>
      <c r="X416" s="47"/>
      <c r="Y416" s="39"/>
      <c r="Z416" s="41"/>
      <c r="AA416" s="32"/>
      <c r="AB416" s="32"/>
      <c r="AC416" s="32"/>
      <c r="AD416" s="32"/>
      <c r="AE416" s="32"/>
    </row>
    <row r="417" spans="1:3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72"/>
      <c r="L417" s="60"/>
      <c r="M417" s="37"/>
      <c r="N417" s="37"/>
      <c r="O417" s="37"/>
      <c r="P417" s="38"/>
      <c r="Q417" s="68"/>
      <c r="R417" s="42"/>
      <c r="S417" s="37"/>
      <c r="T417" s="37"/>
      <c r="U417" s="37"/>
      <c r="V417" s="37"/>
      <c r="W417" s="45"/>
      <c r="X417" s="47"/>
      <c r="Y417" s="39"/>
      <c r="Z417" s="39"/>
      <c r="AA417" s="33"/>
      <c r="AB417" s="33"/>
      <c r="AC417" s="33"/>
      <c r="AD417" s="33"/>
      <c r="AE417" s="33"/>
    </row>
    <row r="418" spans="1:3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71"/>
      <c r="L418" s="61"/>
      <c r="M418" s="39"/>
      <c r="N418" s="39"/>
      <c r="O418" s="39"/>
      <c r="P418" s="40"/>
      <c r="Q418" s="67"/>
      <c r="R418" s="43"/>
      <c r="S418" s="39"/>
      <c r="T418" s="39"/>
      <c r="U418" s="39"/>
      <c r="V418" s="39"/>
      <c r="W418" s="45"/>
      <c r="X418" s="47"/>
      <c r="Y418" s="39"/>
      <c r="Z418" s="39"/>
      <c r="AA418" s="32"/>
      <c r="AB418" s="32"/>
      <c r="AC418" s="32"/>
      <c r="AD418" s="32"/>
      <c r="AE418" s="32"/>
    </row>
    <row r="419" spans="1:3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71"/>
      <c r="L419" s="61"/>
      <c r="M419" s="39"/>
      <c r="N419" s="39"/>
      <c r="O419" s="39"/>
      <c r="P419" s="40"/>
      <c r="Q419" s="67"/>
      <c r="R419" s="43"/>
      <c r="S419" s="39"/>
      <c r="T419" s="39"/>
      <c r="U419" s="39"/>
      <c r="V419" s="39"/>
      <c r="W419" s="45"/>
      <c r="X419" s="47"/>
      <c r="Y419" s="39"/>
      <c r="Z419" s="39"/>
      <c r="AA419" s="32"/>
      <c r="AB419" s="32"/>
      <c r="AC419" s="32"/>
      <c r="AD419" s="32"/>
      <c r="AE419" s="32"/>
    </row>
    <row r="420" spans="1:3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71"/>
      <c r="L420" s="61"/>
      <c r="M420" s="39"/>
      <c r="N420" s="39"/>
      <c r="O420" s="39"/>
      <c r="P420" s="40"/>
      <c r="Q420" s="67"/>
      <c r="R420" s="43"/>
      <c r="S420" s="39"/>
      <c r="T420" s="39"/>
      <c r="U420" s="39"/>
      <c r="V420" s="39"/>
      <c r="W420" s="45"/>
      <c r="X420" s="47"/>
      <c r="Y420" s="39"/>
      <c r="Z420" s="39"/>
      <c r="AA420" s="32"/>
      <c r="AB420" s="32"/>
      <c r="AC420" s="32"/>
      <c r="AD420" s="32"/>
      <c r="AE420" s="32"/>
    </row>
    <row r="421" spans="1:3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71"/>
      <c r="L421" s="61"/>
      <c r="M421" s="39"/>
      <c r="N421" s="39"/>
      <c r="O421" s="39"/>
      <c r="P421" s="40"/>
      <c r="Q421" s="67"/>
      <c r="R421" s="43"/>
      <c r="S421" s="39"/>
      <c r="T421" s="39"/>
      <c r="U421" s="39"/>
      <c r="V421" s="39"/>
      <c r="W421" s="45"/>
      <c r="X421" s="47"/>
      <c r="Y421" s="39"/>
      <c r="Z421" s="39"/>
      <c r="AA421" s="32"/>
      <c r="AB421" s="32"/>
      <c r="AC421" s="32"/>
      <c r="AD421" s="32"/>
      <c r="AE421" s="32"/>
    </row>
    <row r="422" spans="1:31">
      <c r="K422" s="73"/>
      <c r="M422" s="70"/>
      <c r="P422" s="70"/>
      <c r="Q422" s="69"/>
      <c r="X422" s="70"/>
      <c r="Y422" s="70"/>
      <c r="Z422" s="70"/>
    </row>
    <row r="423" spans="1:3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71"/>
      <c r="L423" s="61"/>
      <c r="M423" s="39"/>
      <c r="N423" s="39"/>
      <c r="O423" s="39"/>
      <c r="P423" s="40"/>
      <c r="Q423" s="67"/>
      <c r="R423" s="43"/>
      <c r="S423" s="39"/>
      <c r="T423" s="39"/>
      <c r="U423" s="39"/>
      <c r="V423" s="39"/>
      <c r="W423" s="45"/>
      <c r="X423" s="47"/>
      <c r="Y423" s="39"/>
      <c r="Z423" s="41"/>
      <c r="AA423" s="32"/>
      <c r="AB423" s="32"/>
      <c r="AC423" s="32"/>
      <c r="AD423" s="32"/>
      <c r="AE423" s="32"/>
    </row>
    <row r="424" spans="1:3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71"/>
      <c r="L424" s="61"/>
      <c r="M424" s="39"/>
      <c r="N424" s="39"/>
      <c r="O424" s="39"/>
      <c r="P424" s="40"/>
      <c r="Q424" s="67"/>
      <c r="R424" s="43"/>
      <c r="S424" s="39"/>
      <c r="T424" s="39"/>
      <c r="U424" s="39"/>
      <c r="V424" s="39"/>
      <c r="W424" s="45"/>
      <c r="X424" s="47"/>
      <c r="Y424" s="39"/>
      <c r="Z424" s="41"/>
      <c r="AA424" s="32"/>
      <c r="AB424" s="32"/>
      <c r="AC424" s="32"/>
      <c r="AD424" s="32"/>
      <c r="AE424" s="32"/>
    </row>
    <row r="425" spans="1:3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71"/>
      <c r="L425" s="61"/>
      <c r="M425" s="39"/>
      <c r="N425" s="39"/>
      <c r="O425" s="39"/>
      <c r="P425" s="40"/>
      <c r="Q425" s="67"/>
      <c r="R425" s="43"/>
      <c r="S425" s="39"/>
      <c r="T425" s="39"/>
      <c r="U425" s="39"/>
      <c r="V425" s="39"/>
      <c r="W425" s="45"/>
      <c r="X425" s="47"/>
      <c r="Y425" s="39"/>
      <c r="Z425" s="41"/>
      <c r="AA425" s="32"/>
      <c r="AB425" s="32"/>
      <c r="AC425" s="32"/>
      <c r="AD425" s="32"/>
      <c r="AE425" s="32"/>
    </row>
    <row r="426" spans="1:3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72"/>
      <c r="L426" s="60"/>
      <c r="M426" s="37"/>
      <c r="N426" s="37"/>
      <c r="O426" s="37"/>
      <c r="P426" s="38"/>
      <c r="Q426" s="68"/>
      <c r="R426" s="42"/>
      <c r="S426" s="37"/>
      <c r="T426" s="37"/>
      <c r="U426" s="37"/>
      <c r="V426" s="37"/>
      <c r="W426" s="45"/>
      <c r="X426" s="47"/>
      <c r="Y426" s="39"/>
      <c r="Z426" s="39"/>
      <c r="AA426" s="33"/>
      <c r="AB426" s="33"/>
      <c r="AC426" s="33"/>
      <c r="AD426" s="33"/>
      <c r="AE426" s="33"/>
    </row>
    <row r="427" spans="1:3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71"/>
      <c r="L427" s="61"/>
      <c r="M427" s="39"/>
      <c r="N427" s="39"/>
      <c r="O427" s="39"/>
      <c r="P427" s="40"/>
      <c r="Q427" s="67"/>
      <c r="R427" s="43"/>
      <c r="S427" s="39"/>
      <c r="T427" s="39"/>
      <c r="U427" s="39"/>
      <c r="V427" s="39"/>
      <c r="W427" s="45"/>
      <c r="X427" s="47"/>
      <c r="Y427" s="39"/>
      <c r="Z427" s="39"/>
      <c r="AA427" s="32"/>
      <c r="AB427" s="32"/>
      <c r="AC427" s="32"/>
      <c r="AD427" s="32"/>
      <c r="AE427" s="32"/>
    </row>
    <row r="428" spans="1:3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71"/>
      <c r="L428" s="61"/>
      <c r="M428" s="39"/>
      <c r="N428" s="39"/>
      <c r="O428" s="39"/>
      <c r="P428" s="40"/>
      <c r="Q428" s="67"/>
      <c r="R428" s="43"/>
      <c r="S428" s="39"/>
      <c r="T428" s="39"/>
      <c r="U428" s="39"/>
      <c r="V428" s="39"/>
      <c r="W428" s="45"/>
      <c r="X428" s="47"/>
      <c r="Y428" s="39"/>
      <c r="Z428" s="39"/>
      <c r="AA428" s="32"/>
      <c r="AB428" s="32"/>
      <c r="AC428" s="32"/>
      <c r="AD428" s="32"/>
      <c r="AE428" s="32"/>
    </row>
    <row r="429" spans="1:3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71"/>
      <c r="L429" s="61"/>
      <c r="M429" s="39"/>
      <c r="N429" s="39"/>
      <c r="O429" s="39"/>
      <c r="P429" s="40"/>
      <c r="Q429" s="67"/>
      <c r="R429" s="43"/>
      <c r="S429" s="39"/>
      <c r="T429" s="39"/>
      <c r="U429" s="39"/>
      <c r="V429" s="39"/>
      <c r="W429" s="45"/>
      <c r="X429" s="47"/>
      <c r="Y429" s="39"/>
      <c r="Z429" s="39"/>
      <c r="AA429" s="32"/>
      <c r="AB429" s="32"/>
      <c r="AC429" s="32"/>
      <c r="AD429" s="32"/>
      <c r="AE429" s="32"/>
    </row>
    <row r="430" spans="1:3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71"/>
      <c r="L430" s="61"/>
      <c r="M430" s="39"/>
      <c r="N430" s="39"/>
      <c r="O430" s="39"/>
      <c r="P430" s="40"/>
      <c r="Q430" s="67"/>
      <c r="R430" s="43"/>
      <c r="S430" s="39"/>
      <c r="T430" s="39"/>
      <c r="U430" s="39"/>
      <c r="V430" s="39"/>
      <c r="W430" s="45"/>
      <c r="X430" s="47"/>
      <c r="Y430" s="39"/>
      <c r="Z430" s="39"/>
      <c r="AA430" s="32"/>
      <c r="AB430" s="32"/>
      <c r="AC430" s="32"/>
      <c r="AD430" s="32"/>
      <c r="AE430" s="32"/>
    </row>
    <row r="431" spans="1:31">
      <c r="K431" s="73"/>
      <c r="M431" s="70"/>
      <c r="Q431" s="69"/>
    </row>
    <row r="432" spans="1:3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71"/>
      <c r="L432" s="61"/>
      <c r="M432" s="39"/>
      <c r="N432" s="39"/>
      <c r="O432" s="39"/>
      <c r="P432" s="40"/>
      <c r="Q432" s="67"/>
      <c r="R432" s="43"/>
      <c r="S432" s="39"/>
      <c r="T432" s="39"/>
      <c r="U432" s="39"/>
      <c r="V432" s="39"/>
      <c r="W432" s="45"/>
      <c r="X432" s="47"/>
      <c r="Y432" s="39"/>
      <c r="Z432" s="41"/>
      <c r="AA432" s="32"/>
      <c r="AB432" s="32"/>
      <c r="AC432" s="32"/>
      <c r="AD432" s="32"/>
      <c r="AE432" s="32"/>
    </row>
    <row r="433" spans="1:3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71"/>
      <c r="L433" s="61"/>
      <c r="M433" s="39"/>
      <c r="N433" s="39"/>
      <c r="O433" s="39"/>
      <c r="P433" s="40"/>
      <c r="Q433" s="67"/>
      <c r="R433" s="43"/>
      <c r="S433" s="39"/>
      <c r="T433" s="39"/>
      <c r="U433" s="39"/>
      <c r="V433" s="39"/>
      <c r="W433" s="45"/>
      <c r="X433" s="47"/>
      <c r="Y433" s="39"/>
      <c r="Z433" s="41"/>
      <c r="AA433" s="32"/>
      <c r="AB433" s="32"/>
      <c r="AC433" s="32"/>
      <c r="AD433" s="32"/>
      <c r="AE433" s="32"/>
    </row>
    <row r="434" spans="1:3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71"/>
      <c r="L434" s="61"/>
      <c r="M434" s="39"/>
      <c r="N434" s="39"/>
      <c r="O434" s="39"/>
      <c r="P434" s="40"/>
      <c r="Q434" s="67"/>
      <c r="R434" s="43"/>
      <c r="S434" s="39"/>
      <c r="T434" s="39"/>
      <c r="U434" s="39"/>
      <c r="V434" s="39"/>
      <c r="W434" s="45"/>
      <c r="X434" s="47"/>
      <c r="Y434" s="39"/>
      <c r="Z434" s="41"/>
      <c r="AA434" s="32"/>
      <c r="AB434" s="32"/>
      <c r="AC434" s="32"/>
      <c r="AD434" s="32"/>
      <c r="AE434" s="32"/>
    </row>
    <row r="435" spans="1:3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72"/>
      <c r="L435" s="60"/>
      <c r="M435" s="37"/>
      <c r="N435" s="37"/>
      <c r="O435" s="37"/>
      <c r="P435" s="38"/>
      <c r="Q435" s="68"/>
      <c r="R435" s="42"/>
      <c r="S435" s="37"/>
      <c r="T435" s="37"/>
      <c r="U435" s="37"/>
      <c r="V435" s="37"/>
      <c r="W435" s="45"/>
      <c r="X435" s="47"/>
      <c r="Y435" s="39"/>
      <c r="Z435" s="39"/>
      <c r="AA435" s="33"/>
      <c r="AB435" s="33"/>
      <c r="AC435" s="33"/>
      <c r="AD435" s="33"/>
      <c r="AE435" s="33"/>
    </row>
    <row r="436" spans="1:3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71"/>
      <c r="L436" s="61"/>
      <c r="M436" s="39"/>
      <c r="N436" s="39"/>
      <c r="O436" s="39"/>
      <c r="P436" s="40"/>
      <c r="Q436" s="67"/>
      <c r="R436" s="43"/>
      <c r="S436" s="39"/>
      <c r="T436" s="39"/>
      <c r="U436" s="39"/>
      <c r="V436" s="39"/>
      <c r="W436" s="45"/>
      <c r="X436" s="47"/>
      <c r="Y436" s="39"/>
      <c r="Z436" s="39"/>
      <c r="AA436" s="32"/>
      <c r="AB436" s="32"/>
      <c r="AC436" s="32"/>
      <c r="AD436" s="32"/>
      <c r="AE436" s="32"/>
    </row>
    <row r="437" spans="1:3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71"/>
      <c r="L437" s="61"/>
      <c r="M437" s="39"/>
      <c r="N437" s="39"/>
      <c r="O437" s="39"/>
      <c r="P437" s="40"/>
      <c r="Q437" s="67"/>
      <c r="R437" s="43"/>
      <c r="S437" s="39"/>
      <c r="T437" s="39"/>
      <c r="U437" s="39"/>
      <c r="V437" s="39"/>
      <c r="W437" s="45"/>
      <c r="X437" s="47"/>
      <c r="Y437" s="39"/>
      <c r="Z437" s="39"/>
      <c r="AA437" s="32"/>
      <c r="AB437" s="32"/>
      <c r="AC437" s="32"/>
      <c r="AD437" s="32"/>
      <c r="AE437" s="32"/>
    </row>
    <row r="438" spans="1:3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71"/>
      <c r="L438" s="61"/>
      <c r="M438" s="39"/>
      <c r="N438" s="39"/>
      <c r="O438" s="39"/>
      <c r="P438" s="40"/>
      <c r="Q438" s="67"/>
      <c r="R438" s="43"/>
      <c r="S438" s="39"/>
      <c r="T438" s="39"/>
      <c r="U438" s="39"/>
      <c r="V438" s="39"/>
      <c r="W438" s="45"/>
      <c r="X438" s="47"/>
      <c r="Y438" s="39"/>
      <c r="Z438" s="39"/>
      <c r="AA438" s="32"/>
      <c r="AB438" s="32"/>
      <c r="AC438" s="32"/>
      <c r="AD438" s="32"/>
      <c r="AE438" s="32"/>
    </row>
    <row r="439" spans="1:3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71"/>
      <c r="L439" s="61"/>
      <c r="M439" s="39"/>
      <c r="N439" s="39"/>
      <c r="O439" s="39"/>
      <c r="P439" s="40"/>
      <c r="Q439" s="67"/>
      <c r="R439" s="43"/>
      <c r="S439" s="39"/>
      <c r="T439" s="39"/>
      <c r="U439" s="39"/>
      <c r="V439" s="39"/>
      <c r="W439" s="45"/>
      <c r="X439" s="47"/>
      <c r="Y439" s="39"/>
      <c r="Z439" s="39"/>
      <c r="AA439" s="32"/>
      <c r="AB439" s="32"/>
      <c r="AC439" s="32"/>
      <c r="AD439" s="32"/>
      <c r="AE439" s="32"/>
    </row>
    <row r="440" spans="1:31">
      <c r="K440" s="73"/>
      <c r="M440" s="70"/>
      <c r="Q440" s="69"/>
    </row>
    <row r="441" spans="1:3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71"/>
      <c r="L441" s="61"/>
      <c r="M441" s="39"/>
      <c r="N441" s="39"/>
      <c r="O441" s="39"/>
      <c r="P441" s="40"/>
      <c r="Q441" s="67"/>
      <c r="R441" s="43"/>
      <c r="S441" s="39"/>
      <c r="T441" s="39"/>
      <c r="U441" s="39"/>
      <c r="V441" s="39"/>
      <c r="W441" s="45"/>
      <c r="X441" s="47"/>
      <c r="Y441" s="39"/>
      <c r="Z441" s="41"/>
      <c r="AA441" s="32"/>
      <c r="AB441" s="32"/>
      <c r="AC441" s="32"/>
      <c r="AD441" s="32"/>
      <c r="AE441" s="32"/>
    </row>
    <row r="442" spans="1:3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71"/>
      <c r="L442" s="61"/>
      <c r="M442" s="39"/>
      <c r="N442" s="39"/>
      <c r="O442" s="39"/>
      <c r="P442" s="40"/>
      <c r="Q442" s="67"/>
      <c r="R442" s="43"/>
      <c r="S442" s="39"/>
      <c r="T442" s="39"/>
      <c r="U442" s="39"/>
      <c r="V442" s="39"/>
      <c r="W442" s="45"/>
      <c r="X442" s="47"/>
      <c r="Y442" s="39"/>
      <c r="Z442" s="41"/>
      <c r="AA442" s="32"/>
      <c r="AB442" s="32"/>
      <c r="AC442" s="32"/>
      <c r="AD442" s="32"/>
      <c r="AE442" s="32"/>
    </row>
    <row r="443" spans="1:3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71"/>
      <c r="L443" s="61"/>
      <c r="M443" s="39"/>
      <c r="N443" s="39"/>
      <c r="O443" s="39"/>
      <c r="P443" s="40"/>
      <c r="Q443" s="67"/>
      <c r="R443" s="43"/>
      <c r="S443" s="39"/>
      <c r="T443" s="39"/>
      <c r="U443" s="39"/>
      <c r="V443" s="39"/>
      <c r="W443" s="45"/>
      <c r="X443" s="47"/>
      <c r="Y443" s="39"/>
      <c r="Z443" s="41"/>
      <c r="AA443" s="32"/>
      <c r="AB443" s="32"/>
      <c r="AC443" s="32"/>
      <c r="AD443" s="32"/>
      <c r="AE443" s="32"/>
    </row>
    <row r="444" spans="1:3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72"/>
      <c r="L444" s="60"/>
      <c r="M444" s="37"/>
      <c r="N444" s="37"/>
      <c r="O444" s="37"/>
      <c r="P444" s="38"/>
      <c r="Q444" s="68"/>
      <c r="R444" s="42"/>
      <c r="S444" s="37"/>
      <c r="T444" s="37"/>
      <c r="U444" s="37"/>
      <c r="V444" s="37"/>
      <c r="W444" s="45"/>
      <c r="X444" s="47"/>
      <c r="Y444" s="39"/>
      <c r="Z444" s="39"/>
      <c r="AA444" s="33"/>
      <c r="AB444" s="33"/>
      <c r="AC444" s="33"/>
      <c r="AD444" s="33"/>
      <c r="AE444" s="33"/>
    </row>
    <row r="445" spans="1:3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71"/>
      <c r="L445" s="61"/>
      <c r="M445" s="39"/>
      <c r="N445" s="39"/>
      <c r="O445" s="39"/>
      <c r="P445" s="40"/>
      <c r="Q445" s="67"/>
      <c r="R445" s="43"/>
      <c r="S445" s="39"/>
      <c r="T445" s="39"/>
      <c r="U445" s="39"/>
      <c r="V445" s="39"/>
      <c r="W445" s="45"/>
      <c r="X445" s="47"/>
      <c r="Y445" s="39"/>
      <c r="Z445" s="39"/>
      <c r="AA445" s="32"/>
      <c r="AB445" s="32"/>
      <c r="AC445" s="32"/>
      <c r="AD445" s="32"/>
      <c r="AE445" s="32"/>
    </row>
    <row r="446" spans="1:3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71"/>
      <c r="L446" s="61"/>
      <c r="M446" s="39"/>
      <c r="N446" s="39"/>
      <c r="O446" s="39"/>
      <c r="P446" s="40"/>
      <c r="Q446" s="67"/>
      <c r="R446" s="43"/>
      <c r="S446" s="39"/>
      <c r="T446" s="39"/>
      <c r="U446" s="39"/>
      <c r="V446" s="39"/>
      <c r="W446" s="45"/>
      <c r="X446" s="47"/>
      <c r="Y446" s="39"/>
      <c r="Z446" s="39"/>
      <c r="AA446" s="32"/>
      <c r="AB446" s="32"/>
      <c r="AC446" s="32"/>
      <c r="AD446" s="32"/>
      <c r="AE446" s="32"/>
    </row>
    <row r="447" spans="1:3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71"/>
      <c r="L447" s="61"/>
      <c r="M447" s="39"/>
      <c r="N447" s="39"/>
      <c r="O447" s="39"/>
      <c r="P447" s="40"/>
      <c r="Q447" s="67"/>
      <c r="R447" s="43"/>
      <c r="S447" s="39"/>
      <c r="T447" s="39"/>
      <c r="U447" s="39"/>
      <c r="V447" s="39"/>
      <c r="W447" s="45"/>
      <c r="X447" s="47"/>
      <c r="Y447" s="39"/>
      <c r="Z447" s="39"/>
      <c r="AA447" s="32"/>
      <c r="AB447" s="32"/>
      <c r="AC447" s="32"/>
      <c r="AD447" s="32"/>
      <c r="AE447" s="32"/>
    </row>
    <row r="448" spans="1:3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71"/>
      <c r="L448" s="61"/>
      <c r="M448" s="39"/>
      <c r="N448" s="39"/>
      <c r="O448" s="39"/>
      <c r="P448" s="40"/>
      <c r="Q448" s="67"/>
      <c r="R448" s="43"/>
      <c r="S448" s="39"/>
      <c r="T448" s="39"/>
      <c r="U448" s="39"/>
      <c r="V448" s="39"/>
      <c r="W448" s="45"/>
      <c r="X448" s="47"/>
      <c r="Y448" s="39"/>
      <c r="Z448" s="39"/>
      <c r="AA448" s="32"/>
      <c r="AB448" s="32"/>
      <c r="AC448" s="32"/>
      <c r="AD448" s="32"/>
      <c r="AE448" s="32"/>
    </row>
    <row r="449" spans="1:31">
      <c r="K449" s="73"/>
      <c r="M449" s="70"/>
      <c r="Q449" s="69"/>
    </row>
    <row r="450" spans="1:3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71"/>
      <c r="L450" s="61"/>
      <c r="M450" s="39"/>
      <c r="N450" s="39"/>
      <c r="O450" s="39"/>
      <c r="P450" s="40"/>
      <c r="Q450" s="67"/>
      <c r="R450" s="43"/>
      <c r="S450" s="39"/>
      <c r="T450" s="39"/>
      <c r="U450" s="39"/>
      <c r="V450" s="39"/>
      <c r="W450" s="45"/>
      <c r="X450" s="47"/>
      <c r="Y450" s="39"/>
      <c r="Z450" s="41"/>
      <c r="AA450" s="32"/>
      <c r="AB450" s="32"/>
      <c r="AC450" s="32"/>
      <c r="AD450" s="32"/>
      <c r="AE450" s="32"/>
    </row>
    <row r="451" spans="1:3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71"/>
      <c r="L451" s="61"/>
      <c r="M451" s="39"/>
      <c r="N451" s="39"/>
      <c r="O451" s="39"/>
      <c r="P451" s="40"/>
      <c r="Q451" s="67"/>
      <c r="R451" s="43"/>
      <c r="S451" s="39"/>
      <c r="T451" s="39"/>
      <c r="U451" s="39"/>
      <c r="V451" s="39"/>
      <c r="W451" s="45"/>
      <c r="X451" s="47"/>
      <c r="Y451" s="39"/>
      <c r="Z451" s="41"/>
      <c r="AA451" s="32"/>
      <c r="AB451" s="32"/>
      <c r="AC451" s="32"/>
      <c r="AD451" s="32"/>
      <c r="AE451" s="32"/>
    </row>
    <row r="452" spans="1:3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71"/>
      <c r="L452" s="61"/>
      <c r="M452" s="39"/>
      <c r="N452" s="39"/>
      <c r="O452" s="39"/>
      <c r="P452" s="40"/>
      <c r="Q452" s="67"/>
      <c r="R452" s="43"/>
      <c r="S452" s="39"/>
      <c r="T452" s="39"/>
      <c r="U452" s="39"/>
      <c r="V452" s="39"/>
      <c r="W452" s="45"/>
      <c r="X452" s="47"/>
      <c r="Y452" s="39"/>
      <c r="Z452" s="41"/>
      <c r="AA452" s="32"/>
      <c r="AB452" s="32"/>
      <c r="AC452" s="32"/>
      <c r="AD452" s="32"/>
      <c r="AE452" s="32"/>
    </row>
    <row r="453" spans="1:3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72"/>
      <c r="L453" s="60"/>
      <c r="M453" s="37"/>
      <c r="N453" s="37"/>
      <c r="O453" s="37"/>
      <c r="P453" s="38"/>
      <c r="Q453" s="68"/>
      <c r="R453" s="42"/>
      <c r="S453" s="37"/>
      <c r="T453" s="37"/>
      <c r="U453" s="37"/>
      <c r="V453" s="37"/>
      <c r="W453" s="45"/>
      <c r="X453" s="47"/>
      <c r="Y453" s="39"/>
      <c r="Z453" s="39"/>
      <c r="AA453" s="33"/>
      <c r="AB453" s="33"/>
      <c r="AC453" s="33"/>
      <c r="AD453" s="33"/>
      <c r="AE453" s="33"/>
    </row>
    <row r="454" spans="1:3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71"/>
      <c r="L454" s="61"/>
      <c r="M454" s="39"/>
      <c r="N454" s="39"/>
      <c r="O454" s="39"/>
      <c r="P454" s="40"/>
      <c r="Q454" s="67"/>
      <c r="R454" s="43"/>
      <c r="S454" s="39"/>
      <c r="T454" s="39"/>
      <c r="U454" s="39"/>
      <c r="V454" s="39"/>
      <c r="W454" s="45"/>
      <c r="X454" s="47"/>
      <c r="Y454" s="39"/>
      <c r="Z454" s="39"/>
      <c r="AA454" s="32"/>
      <c r="AB454" s="32"/>
      <c r="AC454" s="32"/>
      <c r="AD454" s="32"/>
      <c r="AE454" s="32"/>
    </row>
    <row r="455" spans="1:3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71"/>
      <c r="L455" s="61"/>
      <c r="M455" s="39"/>
      <c r="N455" s="39"/>
      <c r="O455" s="39"/>
      <c r="P455" s="40"/>
      <c r="Q455" s="67"/>
      <c r="R455" s="43"/>
      <c r="S455" s="39"/>
      <c r="T455" s="39"/>
      <c r="U455" s="39"/>
      <c r="V455" s="39"/>
      <c r="W455" s="45"/>
      <c r="X455" s="47"/>
      <c r="Y455" s="39"/>
      <c r="Z455" s="39"/>
      <c r="AA455" s="32"/>
      <c r="AB455" s="32"/>
      <c r="AC455" s="32"/>
      <c r="AD455" s="32"/>
      <c r="AE455" s="32"/>
    </row>
    <row r="456" spans="1:3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71"/>
      <c r="L456" s="61"/>
      <c r="M456" s="39"/>
      <c r="N456" s="39"/>
      <c r="O456" s="39"/>
      <c r="P456" s="40"/>
      <c r="Q456" s="67"/>
      <c r="R456" s="43"/>
      <c r="S456" s="39"/>
      <c r="T456" s="39"/>
      <c r="U456" s="39"/>
      <c r="V456" s="39"/>
      <c r="W456" s="45"/>
      <c r="X456" s="47"/>
      <c r="Y456" s="39"/>
      <c r="Z456" s="39"/>
      <c r="AA456" s="32"/>
      <c r="AB456" s="32"/>
      <c r="AC456" s="32"/>
      <c r="AD456" s="32"/>
      <c r="AE456" s="32"/>
    </row>
    <row r="457" spans="1:3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71"/>
      <c r="L457" s="61"/>
      <c r="M457" s="39"/>
      <c r="N457" s="39"/>
      <c r="O457" s="39"/>
      <c r="P457" s="40"/>
      <c r="Q457" s="67"/>
      <c r="R457" s="43"/>
      <c r="S457" s="39"/>
      <c r="T457" s="39"/>
      <c r="U457" s="39"/>
      <c r="V457" s="39"/>
      <c r="W457" s="45"/>
      <c r="X457" s="47"/>
      <c r="Y457" s="39"/>
      <c r="Z457" s="39"/>
      <c r="AA457" s="32"/>
      <c r="AB457" s="32"/>
      <c r="AC457" s="32"/>
      <c r="AD457" s="32"/>
      <c r="AE457" s="32"/>
    </row>
    <row r="458" spans="1:31">
      <c r="K458" s="73"/>
      <c r="M458" s="70"/>
      <c r="N458" s="70"/>
      <c r="Q458" s="69"/>
      <c r="R458" s="70"/>
    </row>
    <row r="459" spans="1:3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71"/>
      <c r="L459" s="61"/>
      <c r="M459" s="39"/>
      <c r="N459" s="39"/>
      <c r="O459" s="39"/>
      <c r="P459" s="40"/>
      <c r="Q459" s="67"/>
      <c r="R459" s="43"/>
      <c r="S459" s="39"/>
      <c r="T459" s="39"/>
      <c r="U459" s="39"/>
      <c r="V459" s="39"/>
      <c r="W459" s="45"/>
      <c r="X459" s="47"/>
      <c r="Y459" s="39"/>
      <c r="Z459" s="41"/>
      <c r="AA459" s="32"/>
      <c r="AB459" s="32"/>
      <c r="AC459" s="32"/>
      <c r="AD459" s="32"/>
      <c r="AE459" s="32"/>
    </row>
    <row r="460" spans="1:3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71"/>
      <c r="L460" s="61"/>
      <c r="M460" s="39"/>
      <c r="N460" s="39"/>
      <c r="O460" s="39"/>
      <c r="P460" s="40"/>
      <c r="Q460" s="67"/>
      <c r="R460" s="43"/>
      <c r="S460" s="39"/>
      <c r="T460" s="39"/>
      <c r="U460" s="39"/>
      <c r="V460" s="39"/>
      <c r="W460" s="45"/>
      <c r="X460" s="47"/>
      <c r="Y460" s="39"/>
      <c r="Z460" s="41"/>
      <c r="AA460" s="32"/>
      <c r="AB460" s="32"/>
      <c r="AC460" s="32"/>
      <c r="AD460" s="32"/>
      <c r="AE460" s="32"/>
    </row>
    <row r="461" spans="1:3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71"/>
      <c r="L461" s="61"/>
      <c r="M461" s="39"/>
      <c r="N461" s="39"/>
      <c r="O461" s="39"/>
      <c r="P461" s="40"/>
      <c r="Q461" s="67"/>
      <c r="R461" s="43"/>
      <c r="S461" s="39"/>
      <c r="T461" s="39"/>
      <c r="U461" s="39"/>
      <c r="V461" s="39"/>
      <c r="W461" s="45"/>
      <c r="X461" s="47"/>
      <c r="Y461" s="39"/>
      <c r="Z461" s="41"/>
      <c r="AA461" s="32"/>
      <c r="AB461" s="32"/>
      <c r="AC461" s="32"/>
      <c r="AD461" s="32"/>
      <c r="AE461" s="32"/>
    </row>
    <row r="462" spans="1:3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72"/>
      <c r="L462" s="60"/>
      <c r="M462" s="37"/>
      <c r="N462" s="37"/>
      <c r="O462" s="37"/>
      <c r="P462" s="38"/>
      <c r="Q462" s="68"/>
      <c r="R462" s="42"/>
      <c r="S462" s="37"/>
      <c r="T462" s="37"/>
      <c r="U462" s="37"/>
      <c r="V462" s="37"/>
      <c r="W462" s="45"/>
      <c r="X462" s="47"/>
      <c r="Y462" s="39"/>
      <c r="Z462" s="39"/>
      <c r="AA462" s="33"/>
      <c r="AB462" s="33"/>
      <c r="AC462" s="33"/>
      <c r="AD462" s="33"/>
      <c r="AE462" s="33"/>
    </row>
    <row r="463" spans="1:3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71"/>
      <c r="L463" s="61"/>
      <c r="M463" s="39"/>
      <c r="N463" s="39"/>
      <c r="O463" s="39"/>
      <c r="P463" s="40"/>
      <c r="Q463" s="67"/>
      <c r="R463" s="43"/>
      <c r="S463" s="39"/>
      <c r="T463" s="39"/>
      <c r="U463" s="39"/>
      <c r="V463" s="39"/>
      <c r="W463" s="45"/>
      <c r="X463" s="47"/>
      <c r="Y463" s="39"/>
      <c r="Z463" s="39"/>
      <c r="AA463" s="32"/>
      <c r="AB463" s="32"/>
      <c r="AC463" s="32"/>
      <c r="AD463" s="32"/>
      <c r="AE463" s="32"/>
    </row>
    <row r="464" spans="1:3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71"/>
      <c r="L464" s="61"/>
      <c r="M464" s="39"/>
      <c r="N464" s="39"/>
      <c r="O464" s="39"/>
      <c r="P464" s="40"/>
      <c r="Q464" s="67"/>
      <c r="R464" s="43"/>
      <c r="S464" s="39"/>
      <c r="T464" s="39"/>
      <c r="U464" s="39"/>
      <c r="V464" s="39"/>
      <c r="W464" s="45"/>
      <c r="X464" s="47"/>
      <c r="Y464" s="39"/>
      <c r="Z464" s="39"/>
      <c r="AA464" s="32"/>
      <c r="AB464" s="32"/>
      <c r="AC464" s="32"/>
      <c r="AD464" s="32"/>
      <c r="AE464" s="32"/>
    </row>
    <row r="465" spans="1:3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71"/>
      <c r="L465" s="61"/>
      <c r="M465" s="39"/>
      <c r="N465" s="39"/>
      <c r="O465" s="39"/>
      <c r="P465" s="40"/>
      <c r="Q465" s="67"/>
      <c r="R465" s="43"/>
      <c r="S465" s="39"/>
      <c r="T465" s="39"/>
      <c r="U465" s="39"/>
      <c r="V465" s="39"/>
      <c r="W465" s="45"/>
      <c r="X465" s="47"/>
      <c r="Y465" s="39"/>
      <c r="Z465" s="39"/>
      <c r="AA465" s="32"/>
      <c r="AB465" s="32"/>
      <c r="AC465" s="32"/>
      <c r="AD465" s="32"/>
      <c r="AE465" s="32"/>
    </row>
    <row r="466" spans="1:3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71"/>
      <c r="L466" s="61"/>
      <c r="M466" s="39"/>
      <c r="N466" s="39"/>
      <c r="O466" s="39"/>
      <c r="P466" s="40"/>
      <c r="Q466" s="67"/>
      <c r="R466" s="43"/>
      <c r="S466" s="39"/>
      <c r="T466" s="39"/>
      <c r="U466" s="39"/>
      <c r="V466" s="39"/>
      <c r="W466" s="45"/>
      <c r="X466" s="47"/>
      <c r="Y466" s="39"/>
      <c r="Z466" s="39"/>
      <c r="AA466" s="32"/>
      <c r="AB466" s="32"/>
      <c r="AC466" s="32"/>
      <c r="AD466" s="32"/>
      <c r="AE466" s="32"/>
    </row>
    <row r="467" spans="1:31">
      <c r="K467" s="73"/>
      <c r="M467" s="70"/>
      <c r="Q467" s="69"/>
      <c r="R467" s="70"/>
      <c r="V467" s="70"/>
    </row>
    <row r="468" spans="1:3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71"/>
      <c r="L468" s="61"/>
      <c r="M468" s="39"/>
      <c r="N468" s="39"/>
      <c r="O468" s="39"/>
      <c r="P468" s="40"/>
      <c r="Q468" s="67"/>
      <c r="R468" s="43"/>
      <c r="S468" s="39"/>
      <c r="T468" s="39"/>
      <c r="U468" s="39"/>
      <c r="V468" s="39"/>
      <c r="W468" s="45"/>
      <c r="X468" s="47"/>
      <c r="Y468" s="39"/>
      <c r="Z468" s="41"/>
      <c r="AA468" s="32"/>
      <c r="AB468" s="32"/>
      <c r="AC468" s="32"/>
      <c r="AD468" s="32"/>
      <c r="AE468" s="32"/>
    </row>
    <row r="469" spans="1:3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71"/>
      <c r="L469" s="61"/>
      <c r="M469" s="39"/>
      <c r="N469" s="39"/>
      <c r="O469" s="39"/>
      <c r="P469" s="40"/>
      <c r="Q469" s="67"/>
      <c r="R469" s="43"/>
      <c r="S469" s="39"/>
      <c r="T469" s="39"/>
      <c r="U469" s="39"/>
      <c r="V469" s="39"/>
      <c r="W469" s="45"/>
      <c r="X469" s="47"/>
      <c r="Y469" s="39"/>
      <c r="Z469" s="41"/>
      <c r="AA469" s="32"/>
      <c r="AB469" s="32"/>
      <c r="AC469" s="32"/>
      <c r="AD469" s="32"/>
      <c r="AE469" s="32"/>
    </row>
    <row r="470" spans="1:3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71"/>
      <c r="L470" s="61"/>
      <c r="M470" s="39"/>
      <c r="N470" s="39"/>
      <c r="O470" s="39"/>
      <c r="P470" s="40"/>
      <c r="Q470" s="67"/>
      <c r="R470" s="43"/>
      <c r="S470" s="39"/>
      <c r="T470" s="39"/>
      <c r="U470" s="39"/>
      <c r="V470" s="39"/>
      <c r="W470" s="45"/>
      <c r="X470" s="47"/>
      <c r="Y470" s="39"/>
      <c r="Z470" s="41"/>
      <c r="AA470" s="32"/>
      <c r="AB470" s="32"/>
      <c r="AC470" s="32"/>
      <c r="AD470" s="32"/>
      <c r="AE470" s="32"/>
    </row>
    <row r="471" spans="1:3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72"/>
      <c r="L471" s="60"/>
      <c r="M471" s="37"/>
      <c r="N471" s="37"/>
      <c r="O471" s="37"/>
      <c r="P471" s="38"/>
      <c r="Q471" s="68"/>
      <c r="R471" s="42"/>
      <c r="S471" s="37"/>
      <c r="T471" s="37"/>
      <c r="U471" s="37"/>
      <c r="V471" s="37"/>
      <c r="W471" s="45"/>
      <c r="X471" s="47"/>
      <c r="Y471" s="39"/>
      <c r="Z471" s="39"/>
      <c r="AA471" s="33"/>
      <c r="AB471" s="33"/>
      <c r="AC471" s="33"/>
      <c r="AD471" s="33"/>
      <c r="AE471" s="33"/>
    </row>
    <row r="472" spans="1:3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71"/>
      <c r="L472" s="61"/>
      <c r="M472" s="39"/>
      <c r="N472" s="39"/>
      <c r="O472" s="39"/>
      <c r="P472" s="40"/>
      <c r="Q472" s="67"/>
      <c r="R472" s="43"/>
      <c r="S472" s="39"/>
      <c r="T472" s="39"/>
      <c r="U472" s="39"/>
      <c r="V472" s="39"/>
      <c r="W472" s="45"/>
      <c r="X472" s="47"/>
      <c r="Y472" s="39"/>
      <c r="Z472" s="39"/>
      <c r="AA472" s="32"/>
      <c r="AB472" s="32"/>
      <c r="AC472" s="32"/>
      <c r="AD472" s="32"/>
      <c r="AE472" s="32"/>
    </row>
    <row r="473" spans="1:3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71"/>
      <c r="L473" s="61"/>
      <c r="M473" s="39"/>
      <c r="N473" s="39"/>
      <c r="O473" s="39"/>
      <c r="P473" s="40"/>
      <c r="Q473" s="67"/>
      <c r="R473" s="43"/>
      <c r="S473" s="39"/>
      <c r="T473" s="39"/>
      <c r="U473" s="39"/>
      <c r="V473" s="39"/>
      <c r="W473" s="45"/>
      <c r="X473" s="47"/>
      <c r="Y473" s="39"/>
      <c r="Z473" s="39"/>
      <c r="AA473" s="32"/>
      <c r="AB473" s="32"/>
      <c r="AC473" s="32"/>
      <c r="AD473" s="32"/>
      <c r="AE473" s="32"/>
    </row>
    <row r="474" spans="1:3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71"/>
      <c r="L474" s="61"/>
      <c r="M474" s="39"/>
      <c r="N474" s="39"/>
      <c r="O474" s="39"/>
      <c r="P474" s="40"/>
      <c r="Q474" s="67"/>
      <c r="R474" s="43"/>
      <c r="S474" s="39"/>
      <c r="T474" s="39"/>
      <c r="U474" s="39"/>
      <c r="V474" s="39"/>
      <c r="W474" s="45"/>
      <c r="X474" s="47"/>
      <c r="Y474" s="39"/>
      <c r="Z474" s="39"/>
      <c r="AA474" s="32"/>
      <c r="AB474" s="32"/>
      <c r="AC474" s="32"/>
      <c r="AD474" s="32"/>
      <c r="AE474" s="32"/>
    </row>
    <row r="475" spans="1:3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71"/>
      <c r="L475" s="61"/>
      <c r="M475" s="39"/>
      <c r="N475" s="39"/>
      <c r="O475" s="39"/>
      <c r="P475" s="40"/>
      <c r="Q475" s="67"/>
      <c r="R475" s="43"/>
      <c r="S475" s="39"/>
      <c r="T475" s="39"/>
      <c r="U475" s="39"/>
      <c r="V475" s="39"/>
      <c r="W475" s="45"/>
      <c r="X475" s="47"/>
      <c r="Y475" s="39"/>
      <c r="Z475" s="39"/>
      <c r="AA475" s="32"/>
      <c r="AB475" s="32"/>
      <c r="AC475" s="32"/>
      <c r="AD475" s="32"/>
      <c r="AE475" s="32"/>
    </row>
    <row r="476" spans="1:31">
      <c r="K476" s="73"/>
      <c r="M476" s="70"/>
      <c r="N476" s="70"/>
      <c r="Q476" s="69"/>
      <c r="R476" s="70"/>
      <c r="X476" s="70"/>
      <c r="Y476" s="70"/>
      <c r="Z476" s="70"/>
    </row>
    <row r="477" spans="1:3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71"/>
      <c r="L477" s="61"/>
      <c r="M477" s="39"/>
      <c r="N477" s="39"/>
      <c r="O477" s="39"/>
      <c r="P477" s="40"/>
      <c r="Q477" s="67"/>
      <c r="R477" s="43"/>
      <c r="S477" s="39"/>
      <c r="T477" s="39"/>
      <c r="U477" s="39"/>
      <c r="V477" s="39"/>
      <c r="W477" s="45"/>
      <c r="X477" s="47"/>
      <c r="Y477" s="39"/>
      <c r="Z477" s="41"/>
      <c r="AA477" s="32"/>
      <c r="AB477" s="32"/>
      <c r="AC477" s="32"/>
      <c r="AD477" s="32"/>
      <c r="AE477" s="32"/>
    </row>
    <row r="478" spans="1:3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71"/>
      <c r="L478" s="61"/>
      <c r="M478" s="39"/>
      <c r="N478" s="39"/>
      <c r="O478" s="39"/>
      <c r="P478" s="40"/>
      <c r="Q478" s="67"/>
      <c r="R478" s="43"/>
      <c r="S478" s="39"/>
      <c r="T478" s="39"/>
      <c r="U478" s="39"/>
      <c r="V478" s="39"/>
      <c r="W478" s="45"/>
      <c r="X478" s="47"/>
      <c r="Y478" s="39"/>
      <c r="Z478" s="41"/>
      <c r="AA478" s="32"/>
      <c r="AB478" s="32"/>
      <c r="AC478" s="32"/>
      <c r="AD478" s="32"/>
      <c r="AE478" s="32"/>
    </row>
    <row r="479" spans="1:3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71"/>
      <c r="L479" s="61"/>
      <c r="M479" s="39"/>
      <c r="N479" s="39"/>
      <c r="O479" s="39"/>
      <c r="P479" s="40"/>
      <c r="Q479" s="67"/>
      <c r="R479" s="43"/>
      <c r="S479" s="39"/>
      <c r="T479" s="39"/>
      <c r="U479" s="39"/>
      <c r="V479" s="39"/>
      <c r="W479" s="45"/>
      <c r="X479" s="47"/>
      <c r="Y479" s="39"/>
      <c r="Z479" s="41"/>
      <c r="AA479" s="32"/>
      <c r="AB479" s="32"/>
      <c r="AC479" s="32"/>
      <c r="AD479" s="32"/>
      <c r="AE479" s="32"/>
    </row>
    <row r="480" spans="1:3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72"/>
      <c r="L480" s="60"/>
      <c r="M480" s="37"/>
      <c r="N480" s="37"/>
      <c r="O480" s="37"/>
      <c r="P480" s="38"/>
      <c r="Q480" s="68"/>
      <c r="R480" s="42"/>
      <c r="S480" s="37"/>
      <c r="T480" s="37"/>
      <c r="U480" s="37"/>
      <c r="V480" s="37"/>
      <c r="W480" s="45"/>
      <c r="X480" s="47"/>
      <c r="Y480" s="39"/>
      <c r="Z480" s="39"/>
      <c r="AA480" s="33"/>
      <c r="AB480" s="33"/>
      <c r="AC480" s="33"/>
      <c r="AD480" s="33"/>
      <c r="AE480" s="33"/>
    </row>
    <row r="481" spans="1:3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71"/>
      <c r="L481" s="61"/>
      <c r="M481" s="39"/>
      <c r="N481" s="39"/>
      <c r="O481" s="39"/>
      <c r="P481" s="40"/>
      <c r="Q481" s="67"/>
      <c r="R481" s="43"/>
      <c r="S481" s="39"/>
      <c r="T481" s="39"/>
      <c r="U481" s="39"/>
      <c r="V481" s="39"/>
      <c r="W481" s="45"/>
      <c r="X481" s="47"/>
      <c r="Y481" s="39"/>
      <c r="Z481" s="39"/>
      <c r="AA481" s="32"/>
      <c r="AB481" s="32"/>
      <c r="AC481" s="32"/>
      <c r="AD481" s="32"/>
      <c r="AE481" s="32"/>
    </row>
    <row r="482" spans="1:3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71"/>
      <c r="L482" s="61"/>
      <c r="M482" s="39"/>
      <c r="N482" s="39"/>
      <c r="O482" s="39"/>
      <c r="P482" s="40"/>
      <c r="Q482" s="67"/>
      <c r="R482" s="43"/>
      <c r="S482" s="39"/>
      <c r="T482" s="39"/>
      <c r="U482" s="39"/>
      <c r="V482" s="39"/>
      <c r="W482" s="45"/>
      <c r="X482" s="47"/>
      <c r="Y482" s="39"/>
      <c r="Z482" s="39"/>
      <c r="AA482" s="32"/>
      <c r="AB482" s="32"/>
      <c r="AC482" s="32"/>
      <c r="AD482" s="32"/>
      <c r="AE482" s="32"/>
    </row>
    <row r="483" spans="1:3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71"/>
      <c r="L483" s="61"/>
      <c r="M483" s="39"/>
      <c r="N483" s="39"/>
      <c r="O483" s="39"/>
      <c r="P483" s="40"/>
      <c r="Q483" s="67"/>
      <c r="R483" s="43"/>
      <c r="S483" s="39"/>
      <c r="T483" s="39"/>
      <c r="U483" s="39"/>
      <c r="V483" s="39"/>
      <c r="W483" s="45"/>
      <c r="X483" s="47"/>
      <c r="Y483" s="39"/>
      <c r="Z483" s="39"/>
      <c r="AA483" s="32"/>
      <c r="AB483" s="32"/>
      <c r="AC483" s="32"/>
      <c r="AD483" s="32"/>
      <c r="AE483" s="32"/>
    </row>
    <row r="484" spans="1:3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71"/>
      <c r="L484" s="61"/>
      <c r="M484" s="39"/>
      <c r="N484" s="39"/>
      <c r="O484" s="39"/>
      <c r="P484" s="40"/>
      <c r="Q484" s="67"/>
      <c r="R484" s="43"/>
      <c r="S484" s="39"/>
      <c r="T484" s="39"/>
      <c r="U484" s="39"/>
      <c r="V484" s="39"/>
      <c r="W484" s="45"/>
      <c r="X484" s="47"/>
      <c r="Y484" s="39"/>
      <c r="Z484" s="39"/>
      <c r="AA484" s="32"/>
      <c r="AB484" s="32"/>
      <c r="AC484" s="32"/>
      <c r="AD484" s="32"/>
      <c r="AE484" s="32"/>
    </row>
    <row r="485" spans="1:31">
      <c r="K485" s="73"/>
      <c r="M485" s="70"/>
      <c r="Q485" s="69"/>
      <c r="R485" s="70"/>
      <c r="S485" s="70"/>
      <c r="V485" s="70"/>
      <c r="X485" s="70"/>
      <c r="Y485" s="70"/>
      <c r="Z485" s="70"/>
    </row>
    <row r="486" spans="1:3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71"/>
      <c r="L486" s="61"/>
      <c r="M486" s="39"/>
      <c r="N486" s="39"/>
      <c r="O486" s="39"/>
      <c r="P486" s="40"/>
      <c r="Q486" s="67"/>
      <c r="R486" s="43"/>
      <c r="S486" s="39"/>
      <c r="T486" s="39"/>
      <c r="U486" s="39"/>
      <c r="V486" s="39"/>
      <c r="W486" s="45"/>
      <c r="X486" s="47"/>
      <c r="Y486" s="39"/>
      <c r="Z486" s="41"/>
      <c r="AA486" s="32"/>
      <c r="AB486" s="32"/>
      <c r="AC486" s="32"/>
      <c r="AD486" s="32"/>
      <c r="AE486" s="32"/>
    </row>
    <row r="487" spans="1:3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71"/>
      <c r="L487" s="61"/>
      <c r="M487" s="39"/>
      <c r="N487" s="39"/>
      <c r="O487" s="39"/>
      <c r="P487" s="40"/>
      <c r="Q487" s="67"/>
      <c r="R487" s="43"/>
      <c r="S487" s="39"/>
      <c r="T487" s="39"/>
      <c r="U487" s="39"/>
      <c r="V487" s="39"/>
      <c r="W487" s="45"/>
      <c r="X487" s="47"/>
      <c r="Y487" s="39"/>
      <c r="Z487" s="41"/>
      <c r="AA487" s="32"/>
      <c r="AB487" s="32"/>
      <c r="AC487" s="32"/>
      <c r="AD487" s="32"/>
      <c r="AE487" s="32"/>
    </row>
    <row r="488" spans="1:3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71"/>
      <c r="L488" s="61"/>
      <c r="M488" s="39"/>
      <c r="N488" s="39"/>
      <c r="O488" s="39"/>
      <c r="P488" s="40"/>
      <c r="Q488" s="67"/>
      <c r="R488" s="43"/>
      <c r="S488" s="39"/>
      <c r="T488" s="39"/>
      <c r="U488" s="39"/>
      <c r="V488" s="39"/>
      <c r="W488" s="45"/>
      <c r="X488" s="47"/>
      <c r="Y488" s="39"/>
      <c r="Z488" s="41"/>
      <c r="AA488" s="32"/>
      <c r="AB488" s="32"/>
      <c r="AC488" s="32"/>
      <c r="AD488" s="32"/>
      <c r="AE488" s="32"/>
    </row>
    <row r="489" spans="1:3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72"/>
      <c r="L489" s="60"/>
      <c r="M489" s="37"/>
      <c r="N489" s="37"/>
      <c r="O489" s="37"/>
      <c r="P489" s="38"/>
      <c r="Q489" s="68"/>
      <c r="R489" s="42"/>
      <c r="S489" s="37"/>
      <c r="T489" s="37"/>
      <c r="U489" s="37"/>
      <c r="V489" s="37"/>
      <c r="W489" s="45"/>
      <c r="X489" s="47"/>
      <c r="Y489" s="39"/>
      <c r="Z489" s="39"/>
      <c r="AA489" s="33"/>
      <c r="AB489" s="33"/>
      <c r="AC489" s="33"/>
      <c r="AD489" s="33"/>
      <c r="AE489" s="33"/>
    </row>
    <row r="490" spans="1:3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71"/>
      <c r="L490" s="61"/>
      <c r="M490" s="39"/>
      <c r="N490" s="39"/>
      <c r="O490" s="39"/>
      <c r="P490" s="40"/>
      <c r="Q490" s="67"/>
      <c r="R490" s="43"/>
      <c r="S490" s="39"/>
      <c r="T490" s="39"/>
      <c r="U490" s="39"/>
      <c r="V490" s="39"/>
      <c r="W490" s="45"/>
      <c r="X490" s="47"/>
      <c r="Y490" s="39"/>
      <c r="Z490" s="39"/>
      <c r="AA490" s="32"/>
      <c r="AB490" s="32"/>
      <c r="AC490" s="32"/>
      <c r="AD490" s="32"/>
      <c r="AE490" s="32"/>
    </row>
    <row r="491" spans="1:3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71"/>
      <c r="L491" s="61"/>
      <c r="M491" s="39"/>
      <c r="N491" s="39"/>
      <c r="O491" s="39"/>
      <c r="P491" s="40"/>
      <c r="Q491" s="67"/>
      <c r="R491" s="43"/>
      <c r="S491" s="39"/>
      <c r="T491" s="39"/>
      <c r="U491" s="39"/>
      <c r="V491" s="39"/>
      <c r="W491" s="45"/>
      <c r="X491" s="47"/>
      <c r="Y491" s="39"/>
      <c r="Z491" s="39"/>
      <c r="AA491" s="32"/>
      <c r="AB491" s="32"/>
      <c r="AC491" s="32"/>
      <c r="AD491" s="32"/>
      <c r="AE491" s="32"/>
    </row>
    <row r="492" spans="1:3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71"/>
      <c r="L492" s="61"/>
      <c r="M492" s="39"/>
      <c r="N492" s="39"/>
      <c r="O492" s="39"/>
      <c r="P492" s="40"/>
      <c r="Q492" s="67"/>
      <c r="R492" s="43"/>
      <c r="S492" s="39"/>
      <c r="T492" s="39"/>
      <c r="U492" s="39"/>
      <c r="V492" s="39"/>
      <c r="W492" s="45"/>
      <c r="X492" s="47"/>
      <c r="Y492" s="39"/>
      <c r="Z492" s="39"/>
      <c r="AA492" s="32"/>
      <c r="AB492" s="32"/>
      <c r="AC492" s="32"/>
      <c r="AD492" s="32"/>
      <c r="AE492" s="32"/>
    </row>
    <row r="493" spans="1:3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71"/>
      <c r="L493" s="61"/>
      <c r="M493" s="39"/>
      <c r="N493" s="39"/>
      <c r="O493" s="39"/>
      <c r="P493" s="40"/>
      <c r="Q493" s="67"/>
      <c r="R493" s="43"/>
      <c r="S493" s="39"/>
      <c r="T493" s="39"/>
      <c r="U493" s="39"/>
      <c r="V493" s="39"/>
      <c r="W493" s="45"/>
      <c r="X493" s="47"/>
      <c r="Y493" s="39"/>
      <c r="Z493" s="39"/>
      <c r="AA493" s="32"/>
      <c r="AB493" s="32"/>
      <c r="AC493" s="32"/>
      <c r="AD493" s="32"/>
      <c r="AE493" s="32"/>
    </row>
    <row r="494" spans="1:31">
      <c r="K494" s="73"/>
      <c r="M494" s="70"/>
      <c r="Q494" s="69"/>
      <c r="R494" s="70"/>
      <c r="V494" s="70"/>
    </row>
    <row r="495" spans="1:3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71"/>
      <c r="L495" s="61"/>
      <c r="M495" s="39"/>
      <c r="N495" s="39"/>
      <c r="O495" s="39"/>
      <c r="P495" s="40"/>
      <c r="Q495" s="67"/>
      <c r="R495" s="43"/>
      <c r="S495" s="39"/>
      <c r="T495" s="39"/>
      <c r="U495" s="39"/>
      <c r="V495" s="39"/>
      <c r="W495" s="45"/>
      <c r="X495" s="47"/>
      <c r="Y495" s="39"/>
      <c r="Z495" s="41"/>
      <c r="AA495" s="32"/>
      <c r="AB495" s="32"/>
      <c r="AC495" s="32"/>
      <c r="AD495" s="32"/>
      <c r="AE495" s="32"/>
    </row>
    <row r="496" spans="1:3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71"/>
      <c r="L496" s="61"/>
      <c r="M496" s="39"/>
      <c r="N496" s="39"/>
      <c r="O496" s="39"/>
      <c r="P496" s="40"/>
      <c r="Q496" s="67"/>
      <c r="R496" s="43"/>
      <c r="S496" s="39"/>
      <c r="T496" s="39"/>
      <c r="U496" s="39"/>
      <c r="V496" s="39"/>
      <c r="W496" s="45"/>
      <c r="X496" s="47"/>
      <c r="Y496" s="39"/>
      <c r="Z496" s="41"/>
      <c r="AA496" s="32"/>
      <c r="AB496" s="32"/>
      <c r="AC496" s="32"/>
      <c r="AD496" s="32"/>
      <c r="AE496" s="32"/>
    </row>
    <row r="497" spans="1:3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71"/>
      <c r="L497" s="61"/>
      <c r="M497" s="39"/>
      <c r="N497" s="39"/>
      <c r="O497" s="39"/>
      <c r="P497" s="40"/>
      <c r="Q497" s="67"/>
      <c r="R497" s="43"/>
      <c r="S497" s="39"/>
      <c r="T497" s="39"/>
      <c r="U497" s="39"/>
      <c r="V497" s="39"/>
      <c r="W497" s="45"/>
      <c r="X497" s="47"/>
      <c r="Y497" s="39"/>
      <c r="Z497" s="41"/>
      <c r="AA497" s="32"/>
      <c r="AB497" s="32"/>
      <c r="AC497" s="32"/>
      <c r="AD497" s="32"/>
      <c r="AE497" s="32"/>
    </row>
    <row r="498" spans="1:3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72"/>
      <c r="L498" s="60"/>
      <c r="M498" s="37"/>
      <c r="N498" s="37"/>
      <c r="O498" s="37"/>
      <c r="P498" s="38"/>
      <c r="Q498" s="68"/>
      <c r="R498" s="42"/>
      <c r="S498" s="37"/>
      <c r="T498" s="37"/>
      <c r="U498" s="37"/>
      <c r="V498" s="37"/>
      <c r="W498" s="45"/>
      <c r="X498" s="47"/>
      <c r="Y498" s="39"/>
      <c r="Z498" s="39"/>
      <c r="AA498" s="33"/>
      <c r="AB498" s="33"/>
      <c r="AC498" s="33"/>
      <c r="AD498" s="33"/>
      <c r="AE498" s="33"/>
    </row>
    <row r="499" spans="1:3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71"/>
      <c r="L499" s="61"/>
      <c r="M499" s="39"/>
      <c r="N499" s="39"/>
      <c r="O499" s="39"/>
      <c r="P499" s="40"/>
      <c r="Q499" s="67"/>
      <c r="R499" s="43"/>
      <c r="S499" s="39"/>
      <c r="T499" s="39"/>
      <c r="U499" s="39"/>
      <c r="V499" s="39"/>
      <c r="W499" s="45"/>
      <c r="X499" s="47"/>
      <c r="Y499" s="39"/>
      <c r="Z499" s="39"/>
      <c r="AA499" s="32"/>
      <c r="AB499" s="32"/>
      <c r="AC499" s="32"/>
      <c r="AD499" s="32"/>
      <c r="AE499" s="32"/>
    </row>
    <row r="500" spans="1:3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71"/>
      <c r="L500" s="61"/>
      <c r="M500" s="39"/>
      <c r="N500" s="39"/>
      <c r="O500" s="39"/>
      <c r="P500" s="40"/>
      <c r="Q500" s="67"/>
      <c r="R500" s="43"/>
      <c r="S500" s="39"/>
      <c r="T500" s="39"/>
      <c r="U500" s="39"/>
      <c r="V500" s="39"/>
      <c r="W500" s="45"/>
      <c r="X500" s="47"/>
      <c r="Y500" s="39"/>
      <c r="Z500" s="39"/>
      <c r="AA500" s="32"/>
      <c r="AB500" s="32"/>
      <c r="AC500" s="32"/>
      <c r="AD500" s="32"/>
      <c r="AE500" s="32"/>
    </row>
    <row r="501" spans="1:3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71"/>
      <c r="L501" s="61"/>
      <c r="M501" s="39"/>
      <c r="N501" s="39"/>
      <c r="O501" s="39"/>
      <c r="P501" s="40"/>
      <c r="Q501" s="67"/>
      <c r="R501" s="43"/>
      <c r="S501" s="39"/>
      <c r="T501" s="39"/>
      <c r="U501" s="39"/>
      <c r="V501" s="39"/>
      <c r="W501" s="45"/>
      <c r="X501" s="47"/>
      <c r="Y501" s="39"/>
      <c r="Z501" s="39"/>
      <c r="AA501" s="32"/>
      <c r="AB501" s="32"/>
      <c r="AC501" s="32"/>
      <c r="AD501" s="32"/>
      <c r="AE501" s="32"/>
    </row>
    <row r="502" spans="1:3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71"/>
      <c r="L502" s="61"/>
      <c r="M502" s="39"/>
      <c r="N502" s="39"/>
      <c r="O502" s="39"/>
      <c r="P502" s="40"/>
      <c r="Q502" s="67"/>
      <c r="R502" s="43"/>
      <c r="S502" s="39"/>
      <c r="T502" s="39"/>
      <c r="U502" s="39"/>
      <c r="V502" s="39"/>
      <c r="W502" s="45"/>
      <c r="X502" s="47"/>
      <c r="Y502" s="39"/>
      <c r="Z502" s="39"/>
      <c r="AA502" s="32"/>
      <c r="AB502" s="32"/>
      <c r="AC502" s="32"/>
      <c r="AD502" s="32"/>
      <c r="AE502" s="32"/>
    </row>
    <row r="503" spans="1:31">
      <c r="K503" s="73"/>
      <c r="M503" s="70"/>
      <c r="Q503" s="69"/>
      <c r="R503" s="70"/>
      <c r="V503" s="70"/>
    </row>
    <row r="504" spans="1:3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71"/>
      <c r="L504" s="61"/>
      <c r="M504" s="39"/>
      <c r="N504" s="39"/>
      <c r="O504" s="39"/>
      <c r="P504" s="40"/>
      <c r="Q504" s="67"/>
      <c r="R504" s="43"/>
      <c r="S504" s="39"/>
      <c r="T504" s="39"/>
      <c r="U504" s="39"/>
      <c r="V504" s="39"/>
      <c r="W504" s="45"/>
      <c r="X504" s="47"/>
      <c r="Y504" s="39"/>
      <c r="Z504" s="41"/>
      <c r="AA504" s="32"/>
      <c r="AB504" s="32"/>
      <c r="AC504" s="32"/>
      <c r="AD504" s="32"/>
      <c r="AE504" s="32"/>
    </row>
    <row r="505" spans="1:3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71"/>
      <c r="L505" s="61"/>
      <c r="M505" s="39"/>
      <c r="N505" s="39"/>
      <c r="O505" s="39"/>
      <c r="P505" s="40"/>
      <c r="Q505" s="67"/>
      <c r="R505" s="43"/>
      <c r="S505" s="39"/>
      <c r="T505" s="39"/>
      <c r="U505" s="39"/>
      <c r="V505" s="39"/>
      <c r="W505" s="45"/>
      <c r="X505" s="47"/>
      <c r="Y505" s="39"/>
      <c r="Z505" s="41"/>
      <c r="AA505" s="32"/>
      <c r="AB505" s="32"/>
      <c r="AC505" s="32"/>
      <c r="AD505" s="32"/>
      <c r="AE505" s="32"/>
    </row>
    <row r="506" spans="1:3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71"/>
      <c r="L506" s="61"/>
      <c r="M506" s="39"/>
      <c r="N506" s="39"/>
      <c r="O506" s="39"/>
      <c r="P506" s="40"/>
      <c r="Q506" s="67"/>
      <c r="R506" s="43"/>
      <c r="S506" s="39"/>
      <c r="T506" s="39"/>
      <c r="U506" s="39"/>
      <c r="V506" s="39"/>
      <c r="W506" s="45"/>
      <c r="X506" s="47"/>
      <c r="Y506" s="39"/>
      <c r="Z506" s="41"/>
      <c r="AA506" s="32"/>
      <c r="AB506" s="32"/>
      <c r="AC506" s="32"/>
      <c r="AD506" s="32"/>
      <c r="AE506" s="32"/>
    </row>
    <row r="507" spans="1:3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72"/>
      <c r="L507" s="60"/>
      <c r="M507" s="37"/>
      <c r="N507" s="37"/>
      <c r="O507" s="37"/>
      <c r="P507" s="38"/>
      <c r="Q507" s="68"/>
      <c r="R507" s="42"/>
      <c r="S507" s="37"/>
      <c r="T507" s="37"/>
      <c r="U507" s="37"/>
      <c r="V507" s="37"/>
      <c r="W507" s="45"/>
      <c r="X507" s="47"/>
      <c r="Y507" s="39"/>
      <c r="Z507" s="39"/>
      <c r="AA507" s="33"/>
      <c r="AB507" s="33"/>
      <c r="AC507" s="33"/>
      <c r="AD507" s="33"/>
      <c r="AE507" s="33"/>
    </row>
    <row r="508" spans="1:3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71"/>
      <c r="L508" s="61"/>
      <c r="M508" s="39"/>
      <c r="N508" s="39"/>
      <c r="O508" s="39"/>
      <c r="P508" s="40"/>
      <c r="Q508" s="67"/>
      <c r="R508" s="43"/>
      <c r="S508" s="39"/>
      <c r="T508" s="39"/>
      <c r="U508" s="39"/>
      <c r="V508" s="39"/>
      <c r="W508" s="45"/>
      <c r="X508" s="47"/>
      <c r="Y508" s="39"/>
      <c r="Z508" s="39"/>
      <c r="AA508" s="32"/>
      <c r="AB508" s="32"/>
      <c r="AC508" s="32"/>
      <c r="AD508" s="32"/>
      <c r="AE508" s="32"/>
    </row>
    <row r="509" spans="1:3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71"/>
      <c r="L509" s="61"/>
      <c r="M509" s="39"/>
      <c r="N509" s="39"/>
      <c r="O509" s="39"/>
      <c r="P509" s="40"/>
      <c r="Q509" s="67"/>
      <c r="R509" s="43"/>
      <c r="S509" s="39"/>
      <c r="T509" s="39"/>
      <c r="U509" s="39"/>
      <c r="V509" s="39"/>
      <c r="W509" s="45"/>
      <c r="X509" s="47"/>
      <c r="Y509" s="39"/>
      <c r="Z509" s="39"/>
      <c r="AA509" s="32"/>
      <c r="AB509" s="32"/>
      <c r="AC509" s="32"/>
      <c r="AD509" s="32"/>
      <c r="AE509" s="32"/>
    </row>
    <row r="510" spans="1:3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71"/>
      <c r="L510" s="61"/>
      <c r="M510" s="39"/>
      <c r="N510" s="39"/>
      <c r="O510" s="39"/>
      <c r="P510" s="40"/>
      <c r="Q510" s="67"/>
      <c r="R510" s="43"/>
      <c r="S510" s="39"/>
      <c r="T510" s="39"/>
      <c r="U510" s="39"/>
      <c r="V510" s="39"/>
      <c r="W510" s="45"/>
      <c r="X510" s="47"/>
      <c r="Y510" s="39"/>
      <c r="Z510" s="39"/>
      <c r="AA510" s="32"/>
      <c r="AB510" s="32"/>
      <c r="AC510" s="32"/>
      <c r="AD510" s="32"/>
      <c r="AE510" s="32"/>
    </row>
    <row r="511" spans="1:3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71"/>
      <c r="L511" s="61"/>
      <c r="M511" s="39"/>
      <c r="N511" s="39"/>
      <c r="O511" s="39"/>
      <c r="P511" s="40"/>
      <c r="Q511" s="67"/>
      <c r="R511" s="43"/>
      <c r="S511" s="39"/>
      <c r="T511" s="39"/>
      <c r="U511" s="39"/>
      <c r="V511" s="39"/>
      <c r="W511" s="45"/>
      <c r="X511" s="47"/>
      <c r="Y511" s="39"/>
      <c r="Z511" s="39"/>
      <c r="AA511" s="32"/>
      <c r="AB511" s="32"/>
      <c r="AC511" s="32"/>
      <c r="AD511" s="32"/>
      <c r="AE511" s="32"/>
    </row>
    <row r="512" spans="1:31">
      <c r="K512" s="73"/>
      <c r="M512" s="70"/>
      <c r="Q512" s="69"/>
      <c r="R512" s="70"/>
    </row>
    <row r="513" spans="1:3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71"/>
      <c r="L513" s="61"/>
      <c r="M513" s="39"/>
      <c r="N513" s="39"/>
      <c r="O513" s="39"/>
      <c r="P513" s="40"/>
      <c r="Q513" s="67"/>
      <c r="R513" s="43"/>
      <c r="S513" s="39"/>
      <c r="T513" s="39"/>
      <c r="U513" s="39"/>
      <c r="V513" s="39"/>
      <c r="W513" s="45"/>
      <c r="X513" s="47"/>
      <c r="Y513" s="39"/>
      <c r="Z513" s="41"/>
      <c r="AA513" s="32"/>
      <c r="AB513" s="32"/>
      <c r="AC513" s="32"/>
      <c r="AD513" s="32"/>
      <c r="AE513" s="32"/>
    </row>
    <row r="514" spans="1:3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71"/>
      <c r="L514" s="61"/>
      <c r="M514" s="39"/>
      <c r="N514" s="39"/>
      <c r="O514" s="39"/>
      <c r="P514" s="40"/>
      <c r="Q514" s="67"/>
      <c r="R514" s="43"/>
      <c r="S514" s="39"/>
      <c r="T514" s="39"/>
      <c r="U514" s="39"/>
      <c r="V514" s="39"/>
      <c r="W514" s="45"/>
      <c r="X514" s="47"/>
      <c r="Y514" s="39"/>
      <c r="Z514" s="41"/>
      <c r="AA514" s="32"/>
      <c r="AB514" s="32"/>
      <c r="AC514" s="32"/>
      <c r="AD514" s="32"/>
      <c r="AE514" s="32"/>
    </row>
    <row r="515" spans="1:3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71"/>
      <c r="L515" s="61"/>
      <c r="M515" s="39"/>
      <c r="N515" s="39"/>
      <c r="O515" s="39"/>
      <c r="P515" s="40"/>
      <c r="Q515" s="67"/>
      <c r="R515" s="43"/>
      <c r="S515" s="39"/>
      <c r="T515" s="39"/>
      <c r="U515" s="39"/>
      <c r="V515" s="39"/>
      <c r="W515" s="45"/>
      <c r="X515" s="47"/>
      <c r="Y515" s="39"/>
      <c r="Z515" s="41"/>
      <c r="AA515" s="32"/>
      <c r="AB515" s="32"/>
      <c r="AC515" s="32"/>
      <c r="AD515" s="32"/>
      <c r="AE515" s="32"/>
    </row>
    <row r="516" spans="1:3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72"/>
      <c r="L516" s="60"/>
      <c r="M516" s="37"/>
      <c r="N516" s="37"/>
      <c r="O516" s="37"/>
      <c r="P516" s="38"/>
      <c r="Q516" s="68"/>
      <c r="R516" s="42"/>
      <c r="S516" s="37"/>
      <c r="T516" s="37"/>
      <c r="U516" s="37"/>
      <c r="V516" s="37"/>
      <c r="W516" s="45"/>
      <c r="X516" s="47"/>
      <c r="Y516" s="39"/>
      <c r="Z516" s="39"/>
      <c r="AA516" s="33"/>
      <c r="AB516" s="33"/>
      <c r="AC516" s="33"/>
      <c r="AD516" s="33"/>
      <c r="AE516" s="33"/>
    </row>
    <row r="517" spans="1:3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71"/>
      <c r="L517" s="61"/>
      <c r="M517" s="39"/>
      <c r="N517" s="39"/>
      <c r="O517" s="39"/>
      <c r="P517" s="40"/>
      <c r="Q517" s="67"/>
      <c r="R517" s="43"/>
      <c r="S517" s="39"/>
      <c r="T517" s="39"/>
      <c r="U517" s="39"/>
      <c r="V517" s="39"/>
      <c r="W517" s="45"/>
      <c r="X517" s="47"/>
      <c r="Y517" s="39"/>
      <c r="Z517" s="39"/>
      <c r="AA517" s="32"/>
      <c r="AB517" s="32"/>
      <c r="AC517" s="32"/>
      <c r="AD517" s="32"/>
      <c r="AE517" s="32"/>
    </row>
    <row r="518" spans="1:3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71"/>
      <c r="L518" s="61"/>
      <c r="M518" s="39"/>
      <c r="N518" s="39"/>
      <c r="O518" s="39"/>
      <c r="P518" s="40"/>
      <c r="Q518" s="67"/>
      <c r="R518" s="43"/>
      <c r="S518" s="39"/>
      <c r="T518" s="39"/>
      <c r="U518" s="39"/>
      <c r="V518" s="39"/>
      <c r="W518" s="45"/>
      <c r="X518" s="47"/>
      <c r="Y518" s="39"/>
      <c r="Z518" s="39"/>
      <c r="AA518" s="32"/>
      <c r="AB518" s="32"/>
      <c r="AC518" s="32"/>
      <c r="AD518" s="32"/>
      <c r="AE518" s="32"/>
    </row>
    <row r="519" spans="1:3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71"/>
      <c r="L519" s="61"/>
      <c r="M519" s="39"/>
      <c r="N519" s="39"/>
      <c r="O519" s="39"/>
      <c r="P519" s="40"/>
      <c r="Q519" s="67"/>
      <c r="R519" s="43"/>
      <c r="S519" s="39"/>
      <c r="T519" s="39"/>
      <c r="U519" s="39"/>
      <c r="V519" s="39"/>
      <c r="W519" s="45"/>
      <c r="X519" s="47"/>
      <c r="Y519" s="39"/>
      <c r="Z519" s="39"/>
      <c r="AA519" s="32"/>
      <c r="AB519" s="32"/>
      <c r="AC519" s="32"/>
      <c r="AD519" s="32"/>
      <c r="AE519" s="32"/>
    </row>
    <row r="520" spans="1:3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71"/>
      <c r="L520" s="61"/>
      <c r="M520" s="39"/>
      <c r="N520" s="39"/>
      <c r="O520" s="39"/>
      <c r="P520" s="40"/>
      <c r="Q520" s="67"/>
      <c r="R520" s="43"/>
      <c r="S520" s="39"/>
      <c r="T520" s="39"/>
      <c r="U520" s="39"/>
      <c r="V520" s="39"/>
      <c r="W520" s="45"/>
      <c r="X520" s="47"/>
      <c r="Y520" s="39"/>
      <c r="Z520" s="39"/>
      <c r="AA520" s="32"/>
      <c r="AB520" s="32"/>
      <c r="AC520" s="32"/>
      <c r="AD520" s="32"/>
      <c r="AE520" s="32"/>
    </row>
    <row r="521" spans="1:31">
      <c r="K521" s="73"/>
      <c r="M521" s="70"/>
      <c r="Q521" s="69"/>
      <c r="R521" s="70"/>
      <c r="S521" s="70"/>
      <c r="Y521" s="70"/>
      <c r="Z521" s="70"/>
    </row>
    <row r="522" spans="1:3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71"/>
      <c r="L522" s="61"/>
      <c r="M522" s="39"/>
      <c r="N522" s="39"/>
      <c r="O522" s="39"/>
      <c r="P522" s="40"/>
      <c r="Q522" s="67"/>
      <c r="R522" s="43"/>
      <c r="S522" s="39"/>
      <c r="T522" s="39"/>
      <c r="U522" s="39"/>
      <c r="V522" s="39"/>
      <c r="W522" s="45"/>
      <c r="X522" s="47"/>
      <c r="Y522" s="39"/>
      <c r="Z522" s="41"/>
      <c r="AA522" s="32"/>
      <c r="AB522" s="32"/>
      <c r="AC522" s="32"/>
      <c r="AD522" s="32"/>
      <c r="AE522" s="32"/>
    </row>
    <row r="523" spans="1:3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71"/>
      <c r="L523" s="61"/>
      <c r="M523" s="39"/>
      <c r="N523" s="39"/>
      <c r="O523" s="39"/>
      <c r="P523" s="40"/>
      <c r="Q523" s="67"/>
      <c r="R523" s="43"/>
      <c r="S523" s="39"/>
      <c r="T523" s="39"/>
      <c r="U523" s="39"/>
      <c r="V523" s="39"/>
      <c r="W523" s="45"/>
      <c r="X523" s="47"/>
      <c r="Y523" s="39"/>
      <c r="Z523" s="41"/>
      <c r="AA523" s="32"/>
      <c r="AB523" s="32"/>
      <c r="AC523" s="32"/>
      <c r="AD523" s="32"/>
      <c r="AE523" s="32"/>
    </row>
    <row r="524" spans="1:3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71"/>
      <c r="L524" s="61"/>
      <c r="M524" s="39"/>
      <c r="N524" s="39"/>
      <c r="O524" s="39"/>
      <c r="P524" s="40"/>
      <c r="Q524" s="67"/>
      <c r="R524" s="43"/>
      <c r="S524" s="39"/>
      <c r="T524" s="39"/>
      <c r="U524" s="39"/>
      <c r="V524" s="39"/>
      <c r="W524" s="45"/>
      <c r="X524" s="47"/>
      <c r="Y524" s="39"/>
      <c r="Z524" s="41"/>
      <c r="AA524" s="32"/>
      <c r="AB524" s="32"/>
      <c r="AC524" s="32"/>
      <c r="AD524" s="32"/>
      <c r="AE524" s="32"/>
    </row>
    <row r="525" spans="1:3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72"/>
      <c r="L525" s="60"/>
      <c r="M525" s="37"/>
      <c r="N525" s="37"/>
      <c r="O525" s="37"/>
      <c r="P525" s="38"/>
      <c r="Q525" s="68"/>
      <c r="R525" s="42"/>
      <c r="S525" s="37"/>
      <c r="T525" s="37"/>
      <c r="U525" s="37"/>
      <c r="V525" s="37"/>
      <c r="W525" s="45"/>
      <c r="X525" s="47"/>
      <c r="Y525" s="39"/>
      <c r="Z525" s="39"/>
      <c r="AA525" s="33"/>
      <c r="AB525" s="33"/>
      <c r="AC525" s="33"/>
      <c r="AD525" s="33"/>
      <c r="AE525" s="33"/>
    </row>
    <row r="526" spans="1:3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71"/>
      <c r="L526" s="61"/>
      <c r="M526" s="39"/>
      <c r="N526" s="39"/>
      <c r="O526" s="39"/>
      <c r="P526" s="40"/>
      <c r="Q526" s="67"/>
      <c r="R526" s="43"/>
      <c r="S526" s="39"/>
      <c r="T526" s="39"/>
      <c r="U526" s="39"/>
      <c r="V526" s="39"/>
      <c r="W526" s="45"/>
      <c r="X526" s="47"/>
      <c r="Y526" s="39"/>
      <c r="Z526" s="39"/>
      <c r="AA526" s="32"/>
      <c r="AB526" s="32"/>
      <c r="AC526" s="32"/>
      <c r="AD526" s="32"/>
      <c r="AE526" s="32"/>
    </row>
    <row r="527" spans="1:3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71"/>
      <c r="L527" s="61"/>
      <c r="M527" s="39"/>
      <c r="N527" s="39"/>
      <c r="O527" s="39"/>
      <c r="P527" s="40"/>
      <c r="Q527" s="67"/>
      <c r="R527" s="43"/>
      <c r="S527" s="39"/>
      <c r="T527" s="39"/>
      <c r="U527" s="39"/>
      <c r="V527" s="39"/>
      <c r="W527" s="45"/>
      <c r="X527" s="47"/>
      <c r="Y527" s="39"/>
      <c r="Z527" s="39"/>
      <c r="AA527" s="32"/>
      <c r="AB527" s="32"/>
      <c r="AC527" s="32"/>
      <c r="AD527" s="32"/>
      <c r="AE527" s="32"/>
    </row>
    <row r="528" spans="1:3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71"/>
      <c r="L528" s="61"/>
      <c r="M528" s="39"/>
      <c r="N528" s="39"/>
      <c r="O528" s="39"/>
      <c r="P528" s="40"/>
      <c r="Q528" s="67"/>
      <c r="R528" s="43"/>
      <c r="S528" s="39"/>
      <c r="T528" s="39"/>
      <c r="U528" s="39"/>
      <c r="V528" s="39"/>
      <c r="W528" s="45"/>
      <c r="X528" s="47"/>
      <c r="Y528" s="39"/>
      <c r="Z528" s="39"/>
      <c r="AA528" s="32"/>
      <c r="AB528" s="32"/>
      <c r="AC528" s="32"/>
      <c r="AD528" s="32"/>
      <c r="AE528" s="32"/>
    </row>
    <row r="529" spans="1:3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71"/>
      <c r="L529" s="61"/>
      <c r="M529" s="39"/>
      <c r="N529" s="39"/>
      <c r="O529" s="39"/>
      <c r="P529" s="40"/>
      <c r="Q529" s="67"/>
      <c r="R529" s="43"/>
      <c r="S529" s="39"/>
      <c r="T529" s="39"/>
      <c r="U529" s="39"/>
      <c r="V529" s="39"/>
      <c r="W529" s="45"/>
      <c r="X529" s="47"/>
      <c r="Y529" s="39"/>
      <c r="Z529" s="39"/>
      <c r="AA529" s="32"/>
      <c r="AB529" s="32"/>
      <c r="AC529" s="32"/>
      <c r="AD529" s="32"/>
      <c r="AE529" s="32"/>
    </row>
    <row r="530" spans="1:31">
      <c r="K530" s="73"/>
      <c r="M530" s="70"/>
      <c r="Q530" s="69"/>
    </row>
    <row r="531" spans="1: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71"/>
      <c r="L531" s="61"/>
      <c r="M531" s="39"/>
      <c r="N531" s="39"/>
      <c r="O531" s="39"/>
      <c r="P531" s="40"/>
      <c r="Q531" s="67"/>
      <c r="R531" s="43"/>
      <c r="S531" s="39"/>
      <c r="T531" s="39"/>
      <c r="U531" s="39"/>
      <c r="V531" s="39"/>
      <c r="W531" s="45"/>
      <c r="X531" s="47"/>
      <c r="Y531" s="39"/>
      <c r="Z531" s="41"/>
      <c r="AA531" s="32"/>
      <c r="AB531" s="32"/>
      <c r="AC531" s="32"/>
      <c r="AD531" s="32"/>
      <c r="AE531" s="32"/>
    </row>
    <row r="532" spans="1:3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71"/>
      <c r="L532" s="61"/>
      <c r="M532" s="39"/>
      <c r="N532" s="39"/>
      <c r="O532" s="39"/>
      <c r="P532" s="40"/>
      <c r="Q532" s="67"/>
      <c r="R532" s="43"/>
      <c r="S532" s="39"/>
      <c r="T532" s="39"/>
      <c r="U532" s="39"/>
      <c r="V532" s="39"/>
      <c r="W532" s="45"/>
      <c r="X532" s="47"/>
      <c r="Y532" s="39"/>
      <c r="Z532" s="41"/>
      <c r="AA532" s="32"/>
      <c r="AB532" s="32"/>
      <c r="AC532" s="32"/>
      <c r="AD532" s="32"/>
      <c r="AE532" s="32"/>
    </row>
    <row r="533" spans="1:3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71"/>
      <c r="L533" s="61"/>
      <c r="M533" s="39"/>
      <c r="N533" s="39"/>
      <c r="O533" s="39"/>
      <c r="P533" s="40"/>
      <c r="Q533" s="67"/>
      <c r="R533" s="43"/>
      <c r="S533" s="39"/>
      <c r="T533" s="39"/>
      <c r="U533" s="39"/>
      <c r="V533" s="39"/>
      <c r="W533" s="45"/>
      <c r="X533" s="47"/>
      <c r="Y533" s="39"/>
      <c r="Z533" s="41"/>
      <c r="AA533" s="32"/>
      <c r="AB533" s="32"/>
      <c r="AC533" s="32"/>
      <c r="AD533" s="32"/>
      <c r="AE533" s="32"/>
    </row>
    <row r="534" spans="1:3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72"/>
      <c r="L534" s="60"/>
      <c r="M534" s="37"/>
      <c r="N534" s="37"/>
      <c r="O534" s="37"/>
      <c r="P534" s="38"/>
      <c r="Q534" s="68"/>
      <c r="R534" s="42"/>
      <c r="S534" s="37"/>
      <c r="T534" s="37"/>
      <c r="U534" s="37"/>
      <c r="V534" s="37"/>
      <c r="W534" s="45"/>
      <c r="X534" s="47"/>
      <c r="Y534" s="39"/>
      <c r="Z534" s="39"/>
      <c r="AA534" s="33"/>
      <c r="AB534" s="33"/>
      <c r="AC534" s="33"/>
      <c r="AD534" s="33"/>
      <c r="AE534" s="33"/>
    </row>
    <row r="535" spans="1:3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71"/>
      <c r="L535" s="61"/>
      <c r="M535" s="39"/>
      <c r="N535" s="39"/>
      <c r="O535" s="39"/>
      <c r="P535" s="40"/>
      <c r="Q535" s="67"/>
      <c r="R535" s="43"/>
      <c r="S535" s="39"/>
      <c r="T535" s="39"/>
      <c r="U535" s="39"/>
      <c r="V535" s="39"/>
      <c r="W535" s="45"/>
      <c r="X535" s="47"/>
      <c r="Y535" s="39"/>
      <c r="Z535" s="39"/>
      <c r="AA535" s="32"/>
      <c r="AB535" s="32"/>
      <c r="AC535" s="32"/>
      <c r="AD535" s="32"/>
      <c r="AE535" s="32"/>
    </row>
    <row r="536" spans="1:3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71"/>
      <c r="L536" s="61"/>
      <c r="M536" s="39"/>
      <c r="N536" s="39"/>
      <c r="O536" s="39"/>
      <c r="P536" s="40"/>
      <c r="Q536" s="67"/>
      <c r="R536" s="43"/>
      <c r="S536" s="39"/>
      <c r="T536" s="39"/>
      <c r="U536" s="39"/>
      <c r="V536" s="39"/>
      <c r="W536" s="45"/>
      <c r="X536" s="47"/>
      <c r="Y536" s="39"/>
      <c r="Z536" s="39"/>
      <c r="AA536" s="32"/>
      <c r="AB536" s="32"/>
      <c r="AC536" s="32"/>
      <c r="AD536" s="32"/>
      <c r="AE536" s="32"/>
    </row>
    <row r="537" spans="1:3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71"/>
      <c r="L537" s="61"/>
      <c r="M537" s="39"/>
      <c r="N537" s="39"/>
      <c r="O537" s="39"/>
      <c r="P537" s="40"/>
      <c r="Q537" s="67"/>
      <c r="R537" s="43"/>
      <c r="S537" s="39"/>
      <c r="T537" s="39"/>
      <c r="U537" s="39"/>
      <c r="V537" s="39"/>
      <c r="W537" s="45"/>
      <c r="X537" s="47"/>
      <c r="Y537" s="39"/>
      <c r="Z537" s="39"/>
      <c r="AA537" s="32"/>
      <c r="AB537" s="32"/>
      <c r="AC537" s="32"/>
      <c r="AD537" s="32"/>
      <c r="AE537" s="32"/>
    </row>
    <row r="538" spans="1:3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71"/>
      <c r="L538" s="61"/>
      <c r="M538" s="39"/>
      <c r="N538" s="39"/>
      <c r="O538" s="39"/>
      <c r="P538" s="40"/>
      <c r="Q538" s="67"/>
      <c r="R538" s="43"/>
      <c r="S538" s="39"/>
      <c r="T538" s="39"/>
      <c r="U538" s="39"/>
      <c r="V538" s="39"/>
      <c r="W538" s="45"/>
      <c r="X538" s="47"/>
      <c r="Y538" s="39"/>
      <c r="Z538" s="39"/>
      <c r="AA538" s="32"/>
      <c r="AB538" s="32"/>
      <c r="AC538" s="32"/>
      <c r="AD538" s="32"/>
      <c r="AE538" s="32"/>
    </row>
    <row r="539" spans="1:31">
      <c r="K539" s="73"/>
      <c r="M539" s="70"/>
      <c r="Q539" s="69"/>
    </row>
    <row r="540" spans="1:3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71"/>
      <c r="L540" s="61"/>
      <c r="M540" s="39"/>
      <c r="N540" s="39"/>
      <c r="O540" s="39"/>
      <c r="P540" s="40"/>
      <c r="Q540" s="67"/>
      <c r="R540" s="43"/>
      <c r="S540" s="39"/>
      <c r="T540" s="39"/>
      <c r="U540" s="39"/>
      <c r="V540" s="39"/>
      <c r="W540" s="45"/>
      <c r="X540" s="47"/>
      <c r="Y540" s="39"/>
      <c r="Z540" s="41"/>
      <c r="AA540" s="32"/>
      <c r="AB540" s="32"/>
      <c r="AC540" s="32"/>
      <c r="AD540" s="32"/>
      <c r="AE540" s="32"/>
    </row>
    <row r="541" spans="1:3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71"/>
      <c r="L541" s="61"/>
      <c r="M541" s="39"/>
      <c r="N541" s="39"/>
      <c r="O541" s="39"/>
      <c r="P541" s="40"/>
      <c r="Q541" s="67"/>
      <c r="R541" s="43"/>
      <c r="S541" s="39"/>
      <c r="T541" s="39"/>
      <c r="U541" s="39"/>
      <c r="V541" s="39"/>
      <c r="W541" s="45"/>
      <c r="X541" s="47"/>
      <c r="Y541" s="39"/>
      <c r="Z541" s="41"/>
      <c r="AA541" s="32"/>
      <c r="AB541" s="32"/>
      <c r="AC541" s="32"/>
      <c r="AD541" s="32"/>
      <c r="AE541" s="32"/>
    </row>
    <row r="542" spans="1:3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71"/>
      <c r="L542" s="61"/>
      <c r="M542" s="39"/>
      <c r="N542" s="39"/>
      <c r="O542" s="39"/>
      <c r="P542" s="40"/>
      <c r="Q542" s="67"/>
      <c r="R542" s="43"/>
      <c r="S542" s="39"/>
      <c r="T542" s="39"/>
      <c r="U542" s="39"/>
      <c r="V542" s="39"/>
      <c r="W542" s="45"/>
      <c r="X542" s="47"/>
      <c r="Y542" s="39"/>
      <c r="Z542" s="41"/>
      <c r="AA542" s="32"/>
      <c r="AB542" s="32"/>
      <c r="AC542" s="32"/>
      <c r="AD542" s="32"/>
      <c r="AE542" s="32"/>
    </row>
    <row r="543" spans="1:3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72"/>
      <c r="L543" s="60"/>
      <c r="M543" s="37"/>
      <c r="N543" s="37"/>
      <c r="O543" s="37"/>
      <c r="P543" s="38"/>
      <c r="Q543" s="68"/>
      <c r="R543" s="42"/>
      <c r="S543" s="37"/>
      <c r="T543" s="37"/>
      <c r="U543" s="37"/>
      <c r="V543" s="37"/>
      <c r="W543" s="45"/>
      <c r="X543" s="47"/>
      <c r="Y543" s="39"/>
      <c r="Z543" s="39"/>
      <c r="AA543" s="33"/>
      <c r="AB543" s="33"/>
      <c r="AC543" s="33"/>
      <c r="AD543" s="33"/>
      <c r="AE543" s="33"/>
    </row>
    <row r="544" spans="1:3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71"/>
      <c r="L544" s="61"/>
      <c r="M544" s="39"/>
      <c r="N544" s="39"/>
      <c r="O544" s="39"/>
      <c r="P544" s="40"/>
      <c r="Q544" s="67"/>
      <c r="R544" s="43"/>
      <c r="S544" s="39"/>
      <c r="T544" s="39"/>
      <c r="U544" s="39"/>
      <c r="V544" s="39"/>
      <c r="W544" s="45"/>
      <c r="X544" s="47"/>
      <c r="Y544" s="39"/>
      <c r="Z544" s="39"/>
      <c r="AA544" s="32"/>
      <c r="AB544" s="32"/>
      <c r="AC544" s="32"/>
      <c r="AD544" s="32"/>
      <c r="AE544" s="32"/>
    </row>
    <row r="545" spans="1:3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71"/>
      <c r="L545" s="61"/>
      <c r="M545" s="39"/>
      <c r="N545" s="39"/>
      <c r="O545" s="39"/>
      <c r="P545" s="40"/>
      <c r="Q545" s="67"/>
      <c r="R545" s="43"/>
      <c r="S545" s="39"/>
      <c r="T545" s="39"/>
      <c r="U545" s="39"/>
      <c r="V545" s="39"/>
      <c r="W545" s="45"/>
      <c r="X545" s="47"/>
      <c r="Y545" s="39"/>
      <c r="Z545" s="39"/>
      <c r="AA545" s="32"/>
      <c r="AB545" s="32"/>
      <c r="AC545" s="32"/>
      <c r="AD545" s="32"/>
      <c r="AE545" s="32"/>
    </row>
    <row r="546" spans="1:3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71"/>
      <c r="L546" s="61"/>
      <c r="M546" s="39"/>
      <c r="N546" s="39"/>
      <c r="O546" s="39"/>
      <c r="P546" s="40"/>
      <c r="Q546" s="67"/>
      <c r="R546" s="43"/>
      <c r="S546" s="39"/>
      <c r="T546" s="39"/>
      <c r="U546" s="39"/>
      <c r="V546" s="39"/>
      <c r="W546" s="45"/>
      <c r="X546" s="47"/>
      <c r="Y546" s="39"/>
      <c r="Z546" s="39"/>
      <c r="AA546" s="32"/>
      <c r="AB546" s="32"/>
      <c r="AC546" s="32"/>
      <c r="AD546" s="32"/>
      <c r="AE546" s="32"/>
    </row>
    <row r="547" spans="1:3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71"/>
      <c r="L547" s="61"/>
      <c r="M547" s="39"/>
      <c r="N547" s="39"/>
      <c r="O547" s="39"/>
      <c r="P547" s="40"/>
      <c r="Q547" s="67"/>
      <c r="R547" s="43"/>
      <c r="S547" s="39"/>
      <c r="T547" s="39"/>
      <c r="U547" s="39"/>
      <c r="V547" s="39"/>
      <c r="W547" s="45"/>
      <c r="X547" s="47"/>
      <c r="Y547" s="39"/>
      <c r="Z547" s="39"/>
      <c r="AA547" s="32"/>
      <c r="AB547" s="32"/>
      <c r="AC547" s="32"/>
      <c r="AD547" s="32"/>
      <c r="AE547" s="32"/>
    </row>
    <row r="548" spans="1:31">
      <c r="K548" s="73"/>
      <c r="M548" s="70"/>
      <c r="Q548" s="69"/>
      <c r="Y548" s="70"/>
      <c r="Z548" s="70"/>
    </row>
    <row r="549" spans="1:3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71"/>
      <c r="L549" s="61"/>
      <c r="M549" s="39"/>
      <c r="N549" s="39"/>
      <c r="O549" s="39"/>
      <c r="P549" s="40"/>
      <c r="Q549" s="67"/>
      <c r="R549" s="43"/>
      <c r="S549" s="39"/>
      <c r="T549" s="39"/>
      <c r="U549" s="39"/>
      <c r="V549" s="39"/>
      <c r="W549" s="45"/>
      <c r="X549" s="47"/>
      <c r="Y549" s="39"/>
      <c r="Z549" s="41"/>
      <c r="AA549" s="32"/>
      <c r="AB549" s="32"/>
      <c r="AC549" s="32"/>
      <c r="AD549" s="32"/>
      <c r="AE549" s="32"/>
    </row>
    <row r="550" spans="1:3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71"/>
      <c r="L550" s="61"/>
      <c r="M550" s="39"/>
      <c r="N550" s="39"/>
      <c r="O550" s="39"/>
      <c r="P550" s="40"/>
      <c r="Q550" s="67"/>
      <c r="R550" s="43"/>
      <c r="S550" s="39"/>
      <c r="T550" s="39"/>
      <c r="U550" s="39"/>
      <c r="V550" s="39"/>
      <c r="W550" s="45"/>
      <c r="X550" s="47"/>
      <c r="Y550" s="39"/>
      <c r="Z550" s="41"/>
      <c r="AA550" s="32"/>
      <c r="AB550" s="32"/>
      <c r="AC550" s="32"/>
      <c r="AD550" s="32"/>
      <c r="AE550" s="32"/>
    </row>
    <row r="551" spans="1:3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71"/>
      <c r="L551" s="61"/>
      <c r="M551" s="39"/>
      <c r="N551" s="39"/>
      <c r="O551" s="39"/>
      <c r="P551" s="40"/>
      <c r="Q551" s="67"/>
      <c r="R551" s="43"/>
      <c r="S551" s="39"/>
      <c r="T551" s="39"/>
      <c r="U551" s="39"/>
      <c r="V551" s="39"/>
      <c r="W551" s="45"/>
      <c r="X551" s="47"/>
      <c r="Y551" s="39"/>
      <c r="Z551" s="41"/>
      <c r="AA551" s="32"/>
      <c r="AB551" s="32"/>
      <c r="AC551" s="32"/>
      <c r="AD551" s="32"/>
      <c r="AE551" s="32"/>
    </row>
    <row r="552" spans="1:3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72"/>
      <c r="L552" s="60"/>
      <c r="M552" s="37"/>
      <c r="N552" s="37"/>
      <c r="O552" s="37"/>
      <c r="P552" s="38"/>
      <c r="Q552" s="68"/>
      <c r="R552" s="42"/>
      <c r="S552" s="37"/>
      <c r="T552" s="37"/>
      <c r="U552" s="37"/>
      <c r="V552" s="37"/>
      <c r="W552" s="45"/>
      <c r="X552" s="47"/>
      <c r="Y552" s="39"/>
      <c r="Z552" s="39"/>
      <c r="AA552" s="33"/>
      <c r="AB552" s="33"/>
      <c r="AC552" s="33"/>
      <c r="AD552" s="33"/>
      <c r="AE552" s="33"/>
    </row>
    <row r="553" spans="1:3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71"/>
      <c r="L553" s="61"/>
      <c r="M553" s="39"/>
      <c r="N553" s="39"/>
      <c r="O553" s="39"/>
      <c r="P553" s="40"/>
      <c r="Q553" s="67"/>
      <c r="R553" s="43"/>
      <c r="S553" s="39"/>
      <c r="T553" s="39"/>
      <c r="U553" s="39"/>
      <c r="V553" s="39"/>
      <c r="W553" s="45"/>
      <c r="X553" s="47"/>
      <c r="Y553" s="39"/>
      <c r="Z553" s="39"/>
      <c r="AA553" s="32"/>
      <c r="AB553" s="32"/>
      <c r="AC553" s="32"/>
      <c r="AD553" s="32"/>
      <c r="AE553" s="32"/>
    </row>
    <row r="554" spans="1:3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71"/>
      <c r="L554" s="61"/>
      <c r="M554" s="39"/>
      <c r="N554" s="39"/>
      <c r="O554" s="39"/>
      <c r="P554" s="40"/>
      <c r="Q554" s="67"/>
      <c r="R554" s="43"/>
      <c r="S554" s="39"/>
      <c r="T554" s="39"/>
      <c r="U554" s="39"/>
      <c r="V554" s="39"/>
      <c r="W554" s="45"/>
      <c r="X554" s="47"/>
      <c r="Y554" s="39"/>
      <c r="Z554" s="39"/>
      <c r="AA554" s="32"/>
      <c r="AB554" s="32"/>
      <c r="AC554" s="32"/>
      <c r="AD554" s="32"/>
      <c r="AE554" s="32"/>
    </row>
    <row r="555" spans="1:3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71"/>
      <c r="L555" s="61"/>
      <c r="M555" s="39"/>
      <c r="N555" s="39"/>
      <c r="O555" s="39"/>
      <c r="P555" s="40"/>
      <c r="Q555" s="67"/>
      <c r="R555" s="43"/>
      <c r="S555" s="39"/>
      <c r="T555" s="39"/>
      <c r="U555" s="39"/>
      <c r="V555" s="39"/>
      <c r="W555" s="45"/>
      <c r="X555" s="47"/>
      <c r="Y555" s="39"/>
      <c r="Z555" s="39"/>
      <c r="AA555" s="32"/>
      <c r="AB555" s="32"/>
      <c r="AC555" s="32"/>
      <c r="AD555" s="32"/>
      <c r="AE555" s="32"/>
    </row>
    <row r="556" spans="1:3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71"/>
      <c r="L556" s="61"/>
      <c r="M556" s="39"/>
      <c r="N556" s="39"/>
      <c r="O556" s="39"/>
      <c r="P556" s="40"/>
      <c r="Q556" s="67"/>
      <c r="R556" s="43"/>
      <c r="S556" s="39"/>
      <c r="T556" s="39"/>
      <c r="U556" s="39"/>
      <c r="V556" s="39"/>
      <c r="W556" s="45"/>
      <c r="X556" s="47"/>
      <c r="Y556" s="39"/>
      <c r="Z556" s="39"/>
      <c r="AA556" s="32"/>
      <c r="AB556" s="32"/>
      <c r="AC556" s="32"/>
      <c r="AD556" s="32"/>
      <c r="AE556" s="32"/>
    </row>
    <row r="557" spans="1:31">
      <c r="K557" s="73"/>
      <c r="M557" s="70"/>
      <c r="Q557" s="69"/>
      <c r="R557" s="70"/>
      <c r="X557" s="70"/>
      <c r="Y557" s="70"/>
      <c r="Z557" s="70"/>
    </row>
    <row r="558" spans="1:3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71"/>
      <c r="L558" s="61"/>
      <c r="M558" s="39"/>
      <c r="N558" s="39"/>
      <c r="O558" s="39"/>
      <c r="P558" s="40"/>
      <c r="Q558" s="67"/>
      <c r="R558" s="43"/>
      <c r="S558" s="39"/>
      <c r="T558" s="39"/>
      <c r="U558" s="39"/>
      <c r="V558" s="39"/>
      <c r="W558" s="45"/>
      <c r="X558" s="47"/>
      <c r="Y558" s="39"/>
      <c r="Z558" s="41"/>
      <c r="AA558" s="32"/>
      <c r="AB558" s="32"/>
      <c r="AC558" s="32"/>
      <c r="AD558" s="32"/>
      <c r="AE558" s="32"/>
    </row>
    <row r="559" spans="1:3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71"/>
      <c r="L559" s="61"/>
      <c r="M559" s="39"/>
      <c r="N559" s="39"/>
      <c r="O559" s="39"/>
      <c r="P559" s="40"/>
      <c r="Q559" s="67"/>
      <c r="R559" s="43"/>
      <c r="S559" s="39"/>
      <c r="T559" s="39"/>
      <c r="U559" s="39"/>
      <c r="V559" s="39"/>
      <c r="W559" s="45"/>
      <c r="X559" s="47"/>
      <c r="Y559" s="39"/>
      <c r="Z559" s="41"/>
      <c r="AA559" s="32"/>
      <c r="AB559" s="32"/>
      <c r="AC559" s="32"/>
      <c r="AD559" s="32"/>
      <c r="AE559" s="32"/>
    </row>
    <row r="560" spans="1:3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71"/>
      <c r="L560" s="61"/>
      <c r="M560" s="39"/>
      <c r="N560" s="39"/>
      <c r="O560" s="39"/>
      <c r="P560" s="40"/>
      <c r="Q560" s="67"/>
      <c r="R560" s="43"/>
      <c r="S560" s="39"/>
      <c r="T560" s="39"/>
      <c r="U560" s="39"/>
      <c r="V560" s="39"/>
      <c r="W560" s="45"/>
      <c r="X560" s="47"/>
      <c r="Y560" s="39"/>
      <c r="Z560" s="41"/>
      <c r="AA560" s="32"/>
      <c r="AB560" s="32"/>
      <c r="AC560" s="32"/>
      <c r="AD560" s="32"/>
      <c r="AE560" s="32"/>
    </row>
    <row r="561" spans="1:3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72"/>
      <c r="L561" s="60"/>
      <c r="M561" s="37"/>
      <c r="N561" s="37"/>
      <c r="O561" s="37"/>
      <c r="P561" s="38"/>
      <c r="Q561" s="68"/>
      <c r="R561" s="42"/>
      <c r="S561" s="37"/>
      <c r="T561" s="37"/>
      <c r="U561" s="37"/>
      <c r="V561" s="37"/>
      <c r="W561" s="45"/>
      <c r="X561" s="47"/>
      <c r="Y561" s="39"/>
      <c r="Z561" s="39"/>
      <c r="AA561" s="33"/>
      <c r="AB561" s="33"/>
      <c r="AC561" s="33"/>
      <c r="AD561" s="33"/>
      <c r="AE561" s="33"/>
    </row>
    <row r="562" spans="1:3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71"/>
      <c r="L562" s="61"/>
      <c r="M562" s="39"/>
      <c r="N562" s="39"/>
      <c r="O562" s="39"/>
      <c r="P562" s="40"/>
      <c r="Q562" s="67"/>
      <c r="R562" s="43"/>
      <c r="S562" s="39"/>
      <c r="T562" s="39"/>
      <c r="U562" s="39"/>
      <c r="V562" s="39"/>
      <c r="W562" s="45"/>
      <c r="X562" s="47"/>
      <c r="Y562" s="39"/>
      <c r="Z562" s="39"/>
      <c r="AA562" s="32"/>
      <c r="AB562" s="32"/>
      <c r="AC562" s="32"/>
      <c r="AD562" s="32"/>
      <c r="AE562" s="32"/>
    </row>
    <row r="563" spans="1:3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71"/>
      <c r="L563" s="61"/>
      <c r="M563" s="39"/>
      <c r="N563" s="39"/>
      <c r="O563" s="39"/>
      <c r="P563" s="40"/>
      <c r="Q563" s="67"/>
      <c r="R563" s="43"/>
      <c r="S563" s="39"/>
      <c r="T563" s="39"/>
      <c r="U563" s="39"/>
      <c r="V563" s="39"/>
      <c r="W563" s="45"/>
      <c r="X563" s="47"/>
      <c r="Y563" s="39"/>
      <c r="Z563" s="39"/>
      <c r="AA563" s="32"/>
      <c r="AB563" s="32"/>
      <c r="AC563" s="32"/>
      <c r="AD563" s="32"/>
      <c r="AE563" s="32"/>
    </row>
    <row r="564" spans="1:3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71"/>
      <c r="L564" s="61"/>
      <c r="M564" s="39"/>
      <c r="N564" s="39"/>
      <c r="O564" s="39"/>
      <c r="P564" s="40"/>
      <c r="Q564" s="67"/>
      <c r="R564" s="43"/>
      <c r="S564" s="39"/>
      <c r="T564" s="39"/>
      <c r="U564" s="39"/>
      <c r="V564" s="39"/>
      <c r="W564" s="45"/>
      <c r="X564" s="47"/>
      <c r="Y564" s="39"/>
      <c r="Z564" s="39"/>
      <c r="AA564" s="32"/>
      <c r="AB564" s="32"/>
      <c r="AC564" s="32"/>
      <c r="AD564" s="32"/>
      <c r="AE564" s="32"/>
    </row>
    <row r="565" spans="1:3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71"/>
      <c r="L565" s="61"/>
      <c r="M565" s="39"/>
      <c r="N565" s="39"/>
      <c r="O565" s="39"/>
      <c r="P565" s="40"/>
      <c r="Q565" s="67"/>
      <c r="R565" s="43"/>
      <c r="S565" s="39"/>
      <c r="T565" s="39"/>
      <c r="U565" s="39"/>
      <c r="V565" s="39"/>
      <c r="W565" s="45"/>
      <c r="X565" s="47"/>
      <c r="Y565" s="39"/>
      <c r="Z565" s="39"/>
      <c r="AA565" s="32"/>
      <c r="AB565" s="32"/>
      <c r="AC565" s="32"/>
      <c r="AD565" s="32"/>
      <c r="AE565" s="32"/>
    </row>
    <row r="566" spans="1:31">
      <c r="K566" s="73"/>
      <c r="M566" s="70"/>
      <c r="P566" s="70"/>
      <c r="Q566" s="69"/>
      <c r="X566" s="70"/>
      <c r="Y566" s="70"/>
      <c r="Z566" s="70"/>
    </row>
    <row r="567" spans="1:3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71"/>
      <c r="L567" s="61"/>
      <c r="M567" s="39"/>
      <c r="N567" s="39"/>
      <c r="O567" s="39"/>
      <c r="P567" s="40"/>
      <c r="Q567" s="67"/>
      <c r="R567" s="43"/>
      <c r="S567" s="39"/>
      <c r="T567" s="39"/>
      <c r="U567" s="39"/>
      <c r="V567" s="39"/>
      <c r="W567" s="45"/>
      <c r="X567" s="47"/>
      <c r="Y567" s="39"/>
      <c r="Z567" s="41"/>
      <c r="AA567" s="32"/>
      <c r="AB567" s="32"/>
      <c r="AC567" s="32"/>
      <c r="AD567" s="32"/>
      <c r="AE567" s="32"/>
    </row>
    <row r="568" spans="1:3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71"/>
      <c r="L568" s="61"/>
      <c r="M568" s="39"/>
      <c r="N568" s="39"/>
      <c r="O568" s="39"/>
      <c r="P568" s="40"/>
      <c r="Q568" s="67"/>
      <c r="R568" s="43"/>
      <c r="S568" s="39"/>
      <c r="T568" s="39"/>
      <c r="U568" s="39"/>
      <c r="V568" s="39"/>
      <c r="W568" s="45"/>
      <c r="X568" s="47"/>
      <c r="Y568" s="39"/>
      <c r="Z568" s="41"/>
      <c r="AA568" s="32"/>
      <c r="AB568" s="32"/>
      <c r="AC568" s="32"/>
      <c r="AD568" s="32"/>
      <c r="AE568" s="32"/>
    </row>
    <row r="569" spans="1:3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71"/>
      <c r="L569" s="61"/>
      <c r="M569" s="39"/>
      <c r="N569" s="39"/>
      <c r="O569" s="39"/>
      <c r="P569" s="40"/>
      <c r="Q569" s="67"/>
      <c r="R569" s="43"/>
      <c r="S569" s="39"/>
      <c r="T569" s="39"/>
      <c r="U569" s="39"/>
      <c r="V569" s="39"/>
      <c r="W569" s="45"/>
      <c r="X569" s="47"/>
      <c r="Y569" s="39"/>
      <c r="Z569" s="41"/>
      <c r="AA569" s="32"/>
      <c r="AB569" s="32"/>
      <c r="AC569" s="32"/>
      <c r="AD569" s="32"/>
      <c r="AE569" s="32"/>
    </row>
    <row r="570" spans="1:3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72"/>
      <c r="L570" s="60"/>
      <c r="M570" s="37"/>
      <c r="N570" s="37"/>
      <c r="O570" s="37"/>
      <c r="P570" s="38"/>
      <c r="Q570" s="68"/>
      <c r="R570" s="42"/>
      <c r="S570" s="37"/>
      <c r="T570" s="37"/>
      <c r="U570" s="37"/>
      <c r="V570" s="37"/>
      <c r="W570" s="45"/>
      <c r="X570" s="47"/>
      <c r="Y570" s="39"/>
      <c r="Z570" s="39"/>
      <c r="AA570" s="33"/>
      <c r="AB570" s="33"/>
      <c r="AC570" s="33"/>
      <c r="AD570" s="33"/>
      <c r="AE570" s="33"/>
    </row>
    <row r="571" spans="1:3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71"/>
      <c r="L571" s="61"/>
      <c r="M571" s="39"/>
      <c r="N571" s="39"/>
      <c r="O571" s="39"/>
      <c r="P571" s="40"/>
      <c r="Q571" s="67"/>
      <c r="R571" s="43"/>
      <c r="S571" s="39"/>
      <c r="T571" s="39"/>
      <c r="U571" s="39"/>
      <c r="V571" s="39"/>
      <c r="W571" s="45"/>
      <c r="X571" s="47"/>
      <c r="Y571" s="39"/>
      <c r="Z571" s="39"/>
      <c r="AA571" s="32"/>
      <c r="AB571" s="32"/>
      <c r="AC571" s="32"/>
      <c r="AD571" s="32"/>
      <c r="AE571" s="32"/>
    </row>
    <row r="572" spans="1:3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71"/>
      <c r="L572" s="61"/>
      <c r="M572" s="39"/>
      <c r="N572" s="39"/>
      <c r="O572" s="39"/>
      <c r="P572" s="40"/>
      <c r="Q572" s="67"/>
      <c r="R572" s="43"/>
      <c r="S572" s="39"/>
      <c r="T572" s="39"/>
      <c r="U572" s="39"/>
      <c r="V572" s="39"/>
      <c r="W572" s="45"/>
      <c r="X572" s="47"/>
      <c r="Y572" s="39"/>
      <c r="Z572" s="39"/>
      <c r="AA572" s="32"/>
      <c r="AB572" s="32"/>
      <c r="AC572" s="32"/>
      <c r="AD572" s="32"/>
      <c r="AE572" s="32"/>
    </row>
    <row r="573" spans="1:3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71"/>
      <c r="L573" s="61"/>
      <c r="M573" s="39"/>
      <c r="N573" s="39"/>
      <c r="O573" s="39"/>
      <c r="P573" s="40"/>
      <c r="Q573" s="67"/>
      <c r="R573" s="43"/>
      <c r="S573" s="39"/>
      <c r="T573" s="39"/>
      <c r="U573" s="39"/>
      <c r="V573" s="39"/>
      <c r="W573" s="45"/>
      <c r="X573" s="47"/>
      <c r="Y573" s="39"/>
      <c r="Z573" s="39"/>
      <c r="AA573" s="32"/>
      <c r="AB573" s="32"/>
      <c r="AC573" s="32"/>
      <c r="AD573" s="32"/>
      <c r="AE573" s="32"/>
    </row>
    <row r="574" spans="1:3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71"/>
      <c r="L574" s="61"/>
      <c r="M574" s="39"/>
      <c r="N574" s="39"/>
      <c r="O574" s="39"/>
      <c r="P574" s="40"/>
      <c r="Q574" s="67"/>
      <c r="R574" s="43"/>
      <c r="S574" s="39"/>
      <c r="T574" s="39"/>
      <c r="U574" s="39"/>
      <c r="V574" s="39"/>
      <c r="W574" s="45"/>
      <c r="X574" s="47"/>
      <c r="Y574" s="39"/>
      <c r="Z574" s="39"/>
      <c r="AA574" s="32"/>
      <c r="AB574" s="32"/>
      <c r="AC574" s="32"/>
      <c r="AD574" s="32"/>
      <c r="AE574" s="32"/>
    </row>
    <row r="575" spans="1:31">
      <c r="K575" s="73"/>
      <c r="M575" s="70"/>
      <c r="Q575" s="69"/>
    </row>
    <row r="576" spans="1:3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71"/>
      <c r="L576" s="61"/>
      <c r="M576" s="39"/>
      <c r="N576" s="39"/>
      <c r="O576" s="39"/>
      <c r="P576" s="40"/>
      <c r="Q576" s="67"/>
      <c r="R576" s="43"/>
      <c r="S576" s="39"/>
      <c r="T576" s="39"/>
      <c r="U576" s="39"/>
      <c r="V576" s="39"/>
      <c r="W576" s="45"/>
      <c r="X576" s="47"/>
      <c r="Y576" s="39"/>
      <c r="Z576" s="41"/>
      <c r="AA576" s="32"/>
      <c r="AB576" s="32"/>
      <c r="AC576" s="32"/>
      <c r="AD576" s="32"/>
      <c r="AE576" s="32"/>
    </row>
    <row r="577" spans="1:3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71"/>
      <c r="L577" s="61"/>
      <c r="M577" s="39"/>
      <c r="N577" s="39"/>
      <c r="O577" s="39"/>
      <c r="P577" s="40"/>
      <c r="Q577" s="67"/>
      <c r="R577" s="43"/>
      <c r="S577" s="39"/>
      <c r="T577" s="39"/>
      <c r="U577" s="39"/>
      <c r="V577" s="39"/>
      <c r="W577" s="45"/>
      <c r="X577" s="47"/>
      <c r="Y577" s="39"/>
      <c r="Z577" s="41"/>
      <c r="AA577" s="32"/>
      <c r="AB577" s="32"/>
      <c r="AC577" s="32"/>
      <c r="AD577" s="32"/>
      <c r="AE577" s="32"/>
    </row>
    <row r="578" spans="1:3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71"/>
      <c r="L578" s="61"/>
      <c r="M578" s="39"/>
      <c r="N578" s="39"/>
      <c r="O578" s="39"/>
      <c r="P578" s="40"/>
      <c r="Q578" s="67"/>
      <c r="R578" s="43"/>
      <c r="S578" s="39"/>
      <c r="T578" s="39"/>
      <c r="U578" s="39"/>
      <c r="V578" s="39"/>
      <c r="W578" s="45"/>
      <c r="X578" s="47"/>
      <c r="Y578" s="39"/>
      <c r="Z578" s="41"/>
      <c r="AA578" s="32"/>
      <c r="AB578" s="32"/>
      <c r="AC578" s="32"/>
      <c r="AD578" s="32"/>
      <c r="AE578" s="32"/>
    </row>
    <row r="579" spans="1:3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72"/>
      <c r="L579" s="60"/>
      <c r="M579" s="37"/>
      <c r="N579" s="37"/>
      <c r="O579" s="37"/>
      <c r="P579" s="38"/>
      <c r="Q579" s="68"/>
      <c r="R579" s="42"/>
      <c r="S579" s="37"/>
      <c r="T579" s="37"/>
      <c r="U579" s="37"/>
      <c r="V579" s="37"/>
      <c r="W579" s="45"/>
      <c r="X579" s="47"/>
      <c r="Y579" s="39"/>
      <c r="Z579" s="39"/>
      <c r="AA579" s="33"/>
      <c r="AB579" s="33"/>
      <c r="AC579" s="33"/>
      <c r="AD579" s="33"/>
      <c r="AE579" s="33"/>
    </row>
    <row r="580" spans="1:3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71"/>
      <c r="L580" s="61"/>
      <c r="M580" s="39"/>
      <c r="N580" s="39"/>
      <c r="O580" s="39"/>
      <c r="P580" s="40"/>
      <c r="Q580" s="67"/>
      <c r="R580" s="43"/>
      <c r="S580" s="39"/>
      <c r="T580" s="39"/>
      <c r="U580" s="39"/>
      <c r="V580" s="39"/>
      <c r="W580" s="45"/>
      <c r="X580" s="47"/>
      <c r="Y580" s="39"/>
      <c r="Z580" s="39"/>
      <c r="AA580" s="32"/>
      <c r="AB580" s="32"/>
      <c r="AC580" s="32"/>
      <c r="AD580" s="32"/>
      <c r="AE580" s="32"/>
    </row>
    <row r="581" spans="1:3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71"/>
      <c r="L581" s="61"/>
      <c r="M581" s="39"/>
      <c r="N581" s="39"/>
      <c r="O581" s="39"/>
      <c r="P581" s="40"/>
      <c r="Q581" s="67"/>
      <c r="R581" s="43"/>
      <c r="S581" s="39"/>
      <c r="T581" s="39"/>
      <c r="U581" s="39"/>
      <c r="V581" s="39"/>
      <c r="W581" s="45"/>
      <c r="X581" s="47"/>
      <c r="Y581" s="39"/>
      <c r="Z581" s="39"/>
      <c r="AA581" s="32"/>
      <c r="AB581" s="32"/>
      <c r="AC581" s="32"/>
      <c r="AD581" s="32"/>
      <c r="AE581" s="32"/>
    </row>
    <row r="582" spans="1:3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71"/>
      <c r="L582" s="61"/>
      <c r="M582" s="39"/>
      <c r="N582" s="39"/>
      <c r="O582" s="39"/>
      <c r="P582" s="40"/>
      <c r="Q582" s="67"/>
      <c r="R582" s="43"/>
      <c r="S582" s="39"/>
      <c r="T582" s="39"/>
      <c r="U582" s="39"/>
      <c r="V582" s="39"/>
      <c r="W582" s="45"/>
      <c r="X582" s="47"/>
      <c r="Y582" s="39"/>
      <c r="Z582" s="39"/>
      <c r="AA582" s="32"/>
      <c r="AB582" s="32"/>
      <c r="AC582" s="32"/>
      <c r="AD582" s="32"/>
      <c r="AE582" s="32"/>
    </row>
    <row r="583" spans="1:3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71"/>
      <c r="L583" s="61"/>
      <c r="M583" s="39"/>
      <c r="N583" s="39"/>
      <c r="O583" s="39"/>
      <c r="P583" s="40"/>
      <c r="Q583" s="67"/>
      <c r="R583" s="43"/>
      <c r="S583" s="39"/>
      <c r="T583" s="39"/>
      <c r="U583" s="39"/>
      <c r="V583" s="39"/>
      <c r="W583" s="45"/>
      <c r="X583" s="47"/>
      <c r="Y583" s="39"/>
      <c r="Z583" s="39"/>
      <c r="AA583" s="32"/>
      <c r="AB583" s="32"/>
      <c r="AC583" s="32"/>
      <c r="AD583" s="32"/>
      <c r="AE583" s="32"/>
    </row>
    <row r="584" spans="1:31">
      <c r="K584" s="73"/>
      <c r="M584" s="70"/>
      <c r="Q584" s="69"/>
      <c r="R584" s="70"/>
      <c r="U584" s="70"/>
    </row>
    <row r="585" spans="1:3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71"/>
      <c r="L585" s="61"/>
      <c r="M585" s="39"/>
      <c r="N585" s="39"/>
      <c r="O585" s="39"/>
      <c r="P585" s="40"/>
      <c r="Q585" s="67"/>
      <c r="R585" s="43"/>
      <c r="S585" s="39"/>
      <c r="T585" s="39"/>
      <c r="U585" s="39"/>
      <c r="V585" s="39"/>
      <c r="W585" s="45"/>
      <c r="X585" s="47"/>
      <c r="Y585" s="39"/>
      <c r="Z585" s="41"/>
      <c r="AA585" s="32"/>
      <c r="AB585" s="32"/>
      <c r="AC585" s="32"/>
      <c r="AD585" s="32"/>
      <c r="AE585" s="32"/>
    </row>
    <row r="586" spans="1:3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71"/>
      <c r="L586" s="61"/>
      <c r="M586" s="39"/>
      <c r="N586" s="39"/>
      <c r="O586" s="39"/>
      <c r="P586" s="40"/>
      <c r="Q586" s="67"/>
      <c r="R586" s="43"/>
      <c r="S586" s="39"/>
      <c r="T586" s="39"/>
      <c r="U586" s="39"/>
      <c r="V586" s="39"/>
      <c r="W586" s="45"/>
      <c r="X586" s="47"/>
      <c r="Y586" s="39"/>
      <c r="Z586" s="41"/>
      <c r="AA586" s="32"/>
      <c r="AB586" s="32"/>
      <c r="AC586" s="32"/>
      <c r="AD586" s="32"/>
      <c r="AE586" s="32"/>
    </row>
    <row r="587" spans="1:3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71"/>
      <c r="L587" s="61"/>
      <c r="M587" s="39"/>
      <c r="N587" s="39"/>
      <c r="O587" s="39"/>
      <c r="P587" s="40"/>
      <c r="Q587" s="67"/>
      <c r="R587" s="43"/>
      <c r="S587" s="39"/>
      <c r="T587" s="39"/>
      <c r="U587" s="39"/>
      <c r="V587" s="39"/>
      <c r="W587" s="45"/>
      <c r="X587" s="47"/>
      <c r="Y587" s="39"/>
      <c r="Z587" s="41"/>
      <c r="AA587" s="32"/>
      <c r="AB587" s="32"/>
      <c r="AC587" s="32"/>
      <c r="AD587" s="32"/>
      <c r="AE587" s="32"/>
    </row>
    <row r="588" spans="1:3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72"/>
      <c r="L588" s="60"/>
      <c r="M588" s="37"/>
      <c r="N588" s="37"/>
      <c r="O588" s="37"/>
      <c r="P588" s="38"/>
      <c r="Q588" s="68"/>
      <c r="R588" s="42"/>
      <c r="S588" s="37"/>
      <c r="T588" s="37"/>
      <c r="U588" s="37"/>
      <c r="V588" s="37"/>
      <c r="W588" s="45"/>
      <c r="X588" s="47"/>
      <c r="Y588" s="39"/>
      <c r="Z588" s="39"/>
      <c r="AA588" s="33"/>
      <c r="AB588" s="33"/>
      <c r="AC588" s="33"/>
      <c r="AD588" s="33"/>
      <c r="AE588" s="33"/>
    </row>
    <row r="589" spans="1:3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71"/>
      <c r="L589" s="61"/>
      <c r="M589" s="39"/>
      <c r="N589" s="39"/>
      <c r="O589" s="39"/>
      <c r="P589" s="40"/>
      <c r="Q589" s="67"/>
      <c r="R589" s="43"/>
      <c r="S589" s="39"/>
      <c r="T589" s="39"/>
      <c r="U589" s="39"/>
      <c r="V589" s="39"/>
      <c r="W589" s="45"/>
      <c r="X589" s="47"/>
      <c r="Y589" s="39"/>
      <c r="Z589" s="39"/>
      <c r="AA589" s="32"/>
      <c r="AB589" s="32"/>
      <c r="AC589" s="32"/>
      <c r="AD589" s="32"/>
      <c r="AE589" s="32"/>
    </row>
    <row r="590" spans="1:3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71"/>
      <c r="L590" s="61"/>
      <c r="M590" s="39"/>
      <c r="N590" s="39"/>
      <c r="O590" s="39"/>
      <c r="P590" s="40"/>
      <c r="Q590" s="67"/>
      <c r="R590" s="43"/>
      <c r="S590" s="39"/>
      <c r="T590" s="39"/>
      <c r="U590" s="39"/>
      <c r="V590" s="39"/>
      <c r="W590" s="45"/>
      <c r="X590" s="47"/>
      <c r="Y590" s="39"/>
      <c r="Z590" s="39"/>
      <c r="AA590" s="32"/>
      <c r="AB590" s="32"/>
      <c r="AC590" s="32"/>
      <c r="AD590" s="32"/>
      <c r="AE590" s="32"/>
    </row>
    <row r="591" spans="1:3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71"/>
      <c r="L591" s="61"/>
      <c r="M591" s="39"/>
      <c r="N591" s="39"/>
      <c r="O591" s="39"/>
      <c r="P591" s="40"/>
      <c r="Q591" s="67"/>
      <c r="R591" s="43"/>
      <c r="S591" s="39"/>
      <c r="T591" s="39"/>
      <c r="U591" s="39"/>
      <c r="V591" s="39"/>
      <c r="W591" s="45"/>
      <c r="X591" s="47"/>
      <c r="Y591" s="39"/>
      <c r="Z591" s="39"/>
      <c r="AA591" s="32"/>
      <c r="AB591" s="32"/>
      <c r="AC591" s="32"/>
      <c r="AD591" s="32"/>
      <c r="AE591" s="32"/>
    </row>
    <row r="592" spans="1:3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71"/>
      <c r="L592" s="61"/>
      <c r="M592" s="39"/>
      <c r="N592" s="39"/>
      <c r="O592" s="39"/>
      <c r="P592" s="40"/>
      <c r="Q592" s="67"/>
      <c r="R592" s="43"/>
      <c r="S592" s="39"/>
      <c r="T592" s="39"/>
      <c r="U592" s="39"/>
      <c r="V592" s="39"/>
      <c r="W592" s="45"/>
      <c r="X592" s="47"/>
      <c r="Y592" s="39"/>
      <c r="Z592" s="39"/>
      <c r="AA592" s="32"/>
      <c r="AB592" s="32"/>
      <c r="AC592" s="32"/>
      <c r="AD592" s="32"/>
      <c r="AE592" s="32"/>
    </row>
    <row r="593" spans="1:31">
      <c r="K593" s="73"/>
      <c r="M593" s="70"/>
      <c r="P593" s="70"/>
      <c r="Q593" s="69"/>
      <c r="X593" s="70"/>
      <c r="Y593" s="70"/>
      <c r="Z593" s="70"/>
    </row>
    <row r="594" spans="1:3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71"/>
      <c r="L594" s="61"/>
      <c r="M594" s="39"/>
      <c r="N594" s="39"/>
      <c r="O594" s="39"/>
      <c r="P594" s="40"/>
      <c r="Q594" s="67"/>
      <c r="R594" s="43"/>
      <c r="S594" s="39"/>
      <c r="T594" s="39"/>
      <c r="U594" s="39"/>
      <c r="V594" s="39"/>
      <c r="W594" s="45"/>
      <c r="X594" s="47"/>
      <c r="Y594" s="39"/>
      <c r="Z594" s="41"/>
      <c r="AA594" s="32"/>
      <c r="AB594" s="32"/>
      <c r="AC594" s="32"/>
      <c r="AD594" s="32"/>
      <c r="AE594" s="32"/>
    </row>
    <row r="595" spans="1:3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71"/>
      <c r="L595" s="61"/>
      <c r="M595" s="39"/>
      <c r="N595" s="39"/>
      <c r="O595" s="39"/>
      <c r="P595" s="40"/>
      <c r="Q595" s="67"/>
      <c r="R595" s="43"/>
      <c r="S595" s="39"/>
      <c r="T595" s="39"/>
      <c r="U595" s="39"/>
      <c r="V595" s="39"/>
      <c r="W595" s="45"/>
      <c r="X595" s="47"/>
      <c r="Y595" s="39"/>
      <c r="Z595" s="41"/>
      <c r="AA595" s="32"/>
      <c r="AB595" s="32"/>
      <c r="AC595" s="32"/>
      <c r="AD595" s="32"/>
      <c r="AE595" s="32"/>
    </row>
    <row r="596" spans="1:3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71"/>
      <c r="L596" s="61"/>
      <c r="M596" s="39"/>
      <c r="N596" s="39"/>
      <c r="O596" s="39"/>
      <c r="P596" s="40"/>
      <c r="Q596" s="67"/>
      <c r="R596" s="43"/>
      <c r="S596" s="39"/>
      <c r="T596" s="39"/>
      <c r="U596" s="39"/>
      <c r="V596" s="39"/>
      <c r="W596" s="45"/>
      <c r="X596" s="47"/>
      <c r="Y596" s="39"/>
      <c r="Z596" s="41"/>
      <c r="AA596" s="32"/>
      <c r="AB596" s="32"/>
      <c r="AC596" s="32"/>
      <c r="AD596" s="32"/>
      <c r="AE596" s="32"/>
    </row>
    <row r="597" spans="1:3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72"/>
      <c r="L597" s="60"/>
      <c r="M597" s="37"/>
      <c r="N597" s="37"/>
      <c r="O597" s="37"/>
      <c r="P597" s="38"/>
      <c r="Q597" s="68"/>
      <c r="R597" s="42"/>
      <c r="S597" s="37"/>
      <c r="T597" s="37"/>
      <c r="U597" s="37"/>
      <c r="V597" s="37"/>
      <c r="W597" s="45"/>
      <c r="X597" s="47"/>
      <c r="Y597" s="39"/>
      <c r="Z597" s="39"/>
      <c r="AA597" s="33"/>
      <c r="AB597" s="33"/>
      <c r="AC597" s="33"/>
      <c r="AD597" s="33"/>
      <c r="AE597" s="33"/>
    </row>
    <row r="598" spans="1:3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71"/>
      <c r="L598" s="61"/>
      <c r="M598" s="39"/>
      <c r="N598" s="39"/>
      <c r="O598" s="39"/>
      <c r="P598" s="40"/>
      <c r="Q598" s="67"/>
      <c r="R598" s="43"/>
      <c r="S598" s="39"/>
      <c r="T598" s="39"/>
      <c r="U598" s="39"/>
      <c r="V598" s="39"/>
      <c r="W598" s="45"/>
      <c r="X598" s="47"/>
      <c r="Y598" s="39"/>
      <c r="Z598" s="39"/>
      <c r="AA598" s="32"/>
      <c r="AB598" s="32"/>
      <c r="AC598" s="32"/>
      <c r="AD598" s="32"/>
      <c r="AE598" s="32"/>
    </row>
    <row r="599" spans="1:3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71"/>
      <c r="L599" s="61"/>
      <c r="M599" s="39"/>
      <c r="N599" s="39"/>
      <c r="O599" s="39"/>
      <c r="P599" s="40"/>
      <c r="Q599" s="67"/>
      <c r="R599" s="43"/>
      <c r="S599" s="39"/>
      <c r="T599" s="39"/>
      <c r="U599" s="39"/>
      <c r="V599" s="39"/>
      <c r="W599" s="45"/>
      <c r="X599" s="47"/>
      <c r="Y599" s="39"/>
      <c r="Z599" s="39"/>
      <c r="AA599" s="32"/>
      <c r="AB599" s="32"/>
      <c r="AC599" s="32"/>
      <c r="AD599" s="32"/>
      <c r="AE599" s="32"/>
    </row>
    <row r="600" spans="1:3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71"/>
      <c r="L600" s="61"/>
      <c r="M600" s="39"/>
      <c r="N600" s="39"/>
      <c r="O600" s="39"/>
      <c r="P600" s="40"/>
      <c r="Q600" s="67"/>
      <c r="R600" s="43"/>
      <c r="S600" s="39"/>
      <c r="T600" s="39"/>
      <c r="U600" s="39"/>
      <c r="V600" s="39"/>
      <c r="W600" s="45"/>
      <c r="X600" s="47"/>
      <c r="Y600" s="39"/>
      <c r="Z600" s="39"/>
      <c r="AA600" s="32"/>
      <c r="AB600" s="32"/>
      <c r="AC600" s="32"/>
      <c r="AD600" s="32"/>
      <c r="AE600" s="32"/>
    </row>
    <row r="601" spans="1:3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71"/>
      <c r="L601" s="61"/>
      <c r="M601" s="39"/>
      <c r="N601" s="39"/>
      <c r="O601" s="39"/>
      <c r="P601" s="40"/>
      <c r="Q601" s="67"/>
      <c r="R601" s="43"/>
      <c r="S601" s="39"/>
      <c r="T601" s="39"/>
      <c r="U601" s="39"/>
      <c r="V601" s="39"/>
      <c r="W601" s="45"/>
      <c r="X601" s="47"/>
      <c r="Y601" s="39"/>
      <c r="Z601" s="39"/>
      <c r="AA601" s="32"/>
      <c r="AB601" s="32"/>
      <c r="AC601" s="32"/>
      <c r="AD601" s="32"/>
      <c r="AE601" s="32"/>
    </row>
    <row r="602" spans="1:31">
      <c r="K602" s="73"/>
      <c r="M602" s="70"/>
      <c r="Q602" s="69"/>
    </row>
    <row r="603" spans="1:3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71"/>
      <c r="L603" s="61"/>
      <c r="M603" s="39"/>
      <c r="N603" s="39"/>
      <c r="O603" s="39"/>
      <c r="P603" s="40"/>
      <c r="Q603" s="67"/>
      <c r="R603" s="43"/>
      <c r="S603" s="39"/>
      <c r="T603" s="39"/>
      <c r="U603" s="39"/>
      <c r="V603" s="39"/>
      <c r="W603" s="45"/>
      <c r="X603" s="47"/>
      <c r="Y603" s="39"/>
      <c r="Z603" s="41"/>
      <c r="AA603" s="32"/>
      <c r="AB603" s="32"/>
      <c r="AC603" s="32"/>
      <c r="AD603" s="32"/>
      <c r="AE603" s="32"/>
    </row>
    <row r="604" spans="1:3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71"/>
      <c r="L604" s="61"/>
      <c r="M604" s="39"/>
      <c r="N604" s="39"/>
      <c r="O604" s="39"/>
      <c r="P604" s="40"/>
      <c r="Q604" s="67"/>
      <c r="R604" s="43"/>
      <c r="S604" s="39"/>
      <c r="T604" s="39"/>
      <c r="U604" s="39"/>
      <c r="V604" s="39"/>
      <c r="W604" s="45"/>
      <c r="X604" s="47"/>
      <c r="Y604" s="39"/>
      <c r="Z604" s="41"/>
      <c r="AA604" s="32"/>
      <c r="AB604" s="32"/>
      <c r="AC604" s="32"/>
      <c r="AD604" s="32"/>
      <c r="AE604" s="32"/>
    </row>
    <row r="605" spans="1:3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71"/>
      <c r="L605" s="61"/>
      <c r="M605" s="39"/>
      <c r="N605" s="39"/>
      <c r="O605" s="39"/>
      <c r="P605" s="40"/>
      <c r="Q605" s="67"/>
      <c r="R605" s="43"/>
      <c r="S605" s="39"/>
      <c r="T605" s="39"/>
      <c r="U605" s="39"/>
      <c r="V605" s="39"/>
      <c r="W605" s="45"/>
      <c r="X605" s="47"/>
      <c r="Y605" s="39"/>
      <c r="Z605" s="41"/>
      <c r="AA605" s="32"/>
      <c r="AB605" s="32"/>
      <c r="AC605" s="32"/>
      <c r="AD605" s="32"/>
      <c r="AE605" s="32"/>
    </row>
    <row r="606" spans="1:3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72"/>
      <c r="L606" s="60"/>
      <c r="M606" s="37"/>
      <c r="N606" s="37"/>
      <c r="O606" s="37"/>
      <c r="P606" s="38"/>
      <c r="Q606" s="68"/>
      <c r="R606" s="42"/>
      <c r="S606" s="37"/>
      <c r="T606" s="37"/>
      <c r="U606" s="37"/>
      <c r="V606" s="37"/>
      <c r="W606" s="45"/>
      <c r="X606" s="47"/>
      <c r="Y606" s="39"/>
      <c r="Z606" s="39"/>
      <c r="AA606" s="33"/>
      <c r="AB606" s="33"/>
      <c r="AC606" s="33"/>
      <c r="AD606" s="33"/>
      <c r="AE606" s="33"/>
    </row>
    <row r="607" spans="1:3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71"/>
      <c r="L607" s="61"/>
      <c r="M607" s="39"/>
      <c r="N607" s="39"/>
      <c r="O607" s="39"/>
      <c r="P607" s="40"/>
      <c r="Q607" s="67"/>
      <c r="R607" s="43"/>
      <c r="S607" s="39"/>
      <c r="T607" s="39"/>
      <c r="U607" s="39"/>
      <c r="V607" s="39"/>
      <c r="W607" s="45"/>
      <c r="X607" s="47"/>
      <c r="Y607" s="39"/>
      <c r="Z607" s="39"/>
      <c r="AA607" s="32"/>
      <c r="AB607" s="32"/>
      <c r="AC607" s="32"/>
      <c r="AD607" s="32"/>
      <c r="AE607" s="32"/>
    </row>
    <row r="608" spans="1:3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71"/>
      <c r="L608" s="61"/>
      <c r="M608" s="39"/>
      <c r="N608" s="39"/>
      <c r="O608" s="39"/>
      <c r="P608" s="40"/>
      <c r="Q608" s="67"/>
      <c r="R608" s="43"/>
      <c r="S608" s="39"/>
      <c r="T608" s="39"/>
      <c r="U608" s="39"/>
      <c r="V608" s="39"/>
      <c r="W608" s="45"/>
      <c r="X608" s="47"/>
      <c r="Y608" s="39"/>
      <c r="Z608" s="39"/>
      <c r="AA608" s="32"/>
      <c r="AB608" s="32"/>
      <c r="AC608" s="32"/>
      <c r="AD608" s="32"/>
      <c r="AE608" s="32"/>
    </row>
    <row r="609" spans="1:3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71"/>
      <c r="L609" s="61"/>
      <c r="M609" s="39"/>
      <c r="N609" s="39"/>
      <c r="O609" s="39"/>
      <c r="P609" s="40"/>
      <c r="Q609" s="67"/>
      <c r="R609" s="43"/>
      <c r="S609" s="39"/>
      <c r="T609" s="39"/>
      <c r="U609" s="39"/>
      <c r="V609" s="39"/>
      <c r="W609" s="45"/>
      <c r="X609" s="47"/>
      <c r="Y609" s="39"/>
      <c r="Z609" s="39"/>
      <c r="AA609" s="32"/>
      <c r="AB609" s="32"/>
      <c r="AC609" s="32"/>
      <c r="AD609" s="32"/>
      <c r="AE609" s="32"/>
    </row>
    <row r="610" spans="1:3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71"/>
      <c r="L610" s="61"/>
      <c r="M610" s="39"/>
      <c r="N610" s="39"/>
      <c r="O610" s="39"/>
      <c r="P610" s="40"/>
      <c r="Q610" s="67"/>
      <c r="R610" s="43"/>
      <c r="S610" s="39"/>
      <c r="T610" s="39"/>
      <c r="U610" s="39"/>
      <c r="V610" s="39"/>
      <c r="W610" s="45"/>
      <c r="X610" s="47"/>
      <c r="Y610" s="39"/>
      <c r="Z610" s="39"/>
      <c r="AA610" s="32"/>
      <c r="AB610" s="32"/>
      <c r="AC610" s="32"/>
      <c r="AD610" s="32"/>
      <c r="AE610" s="32"/>
    </row>
    <row r="611" spans="1:31">
      <c r="K611" s="73"/>
      <c r="M611" s="70"/>
      <c r="Q611" s="69"/>
      <c r="Z611" s="70"/>
    </row>
    <row r="612" spans="1:3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71"/>
      <c r="L612" s="61"/>
      <c r="M612" s="39"/>
      <c r="N612" s="39"/>
      <c r="O612" s="39"/>
      <c r="P612" s="40"/>
      <c r="Q612" s="67"/>
      <c r="R612" s="43"/>
      <c r="S612" s="39"/>
      <c r="T612" s="39"/>
      <c r="U612" s="39"/>
      <c r="V612" s="39"/>
      <c r="W612" s="45"/>
      <c r="X612" s="47"/>
      <c r="Y612" s="39"/>
      <c r="Z612" s="41"/>
      <c r="AA612" s="32"/>
      <c r="AB612" s="32"/>
      <c r="AC612" s="32"/>
      <c r="AD612" s="32"/>
      <c r="AE612" s="32"/>
    </row>
    <row r="613" spans="1:3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71"/>
      <c r="L613" s="61"/>
      <c r="M613" s="39"/>
      <c r="N613" s="39"/>
      <c r="O613" s="39"/>
      <c r="P613" s="40"/>
      <c r="Q613" s="67"/>
      <c r="R613" s="43"/>
      <c r="S613" s="39"/>
      <c r="T613" s="39"/>
      <c r="U613" s="39"/>
      <c r="V613" s="39"/>
      <c r="W613" s="45"/>
      <c r="X613" s="47"/>
      <c r="Y613" s="39"/>
      <c r="Z613" s="41"/>
      <c r="AA613" s="32"/>
      <c r="AB613" s="32"/>
      <c r="AC613" s="32"/>
      <c r="AD613" s="32"/>
      <c r="AE613" s="32"/>
    </row>
    <row r="614" spans="1:3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71"/>
      <c r="L614" s="61"/>
      <c r="M614" s="39"/>
      <c r="N614" s="39"/>
      <c r="O614" s="39"/>
      <c r="P614" s="40"/>
      <c r="Q614" s="67"/>
      <c r="R614" s="43"/>
      <c r="S614" s="39"/>
      <c r="T614" s="39"/>
      <c r="U614" s="39"/>
      <c r="V614" s="39"/>
      <c r="W614" s="45"/>
      <c r="X614" s="47"/>
      <c r="Y614" s="39"/>
      <c r="Z614" s="41"/>
      <c r="AA614" s="32"/>
      <c r="AB614" s="32"/>
      <c r="AC614" s="32"/>
      <c r="AD614" s="32"/>
      <c r="AE614" s="32"/>
    </row>
    <row r="615" spans="1:3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72"/>
      <c r="L615" s="60"/>
      <c r="M615" s="37"/>
      <c r="N615" s="37"/>
      <c r="O615" s="37"/>
      <c r="P615" s="38"/>
      <c r="Q615" s="68"/>
      <c r="R615" s="42"/>
      <c r="S615" s="37"/>
      <c r="T615" s="37"/>
      <c r="U615" s="37"/>
      <c r="V615" s="37"/>
      <c r="W615" s="45"/>
      <c r="X615" s="47"/>
      <c r="Y615" s="39"/>
      <c r="Z615" s="39"/>
      <c r="AA615" s="33"/>
      <c r="AB615" s="33"/>
      <c r="AC615" s="33"/>
      <c r="AD615" s="33"/>
      <c r="AE615" s="33"/>
    </row>
    <row r="616" spans="1:3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71"/>
      <c r="L616" s="61"/>
      <c r="M616" s="39"/>
      <c r="N616" s="39"/>
      <c r="O616" s="39"/>
      <c r="P616" s="40"/>
      <c r="Q616" s="67"/>
      <c r="R616" s="43"/>
      <c r="S616" s="39"/>
      <c r="T616" s="39"/>
      <c r="U616" s="39"/>
      <c r="V616" s="39"/>
      <c r="W616" s="45"/>
      <c r="X616" s="47"/>
      <c r="Y616" s="39"/>
      <c r="Z616" s="39"/>
      <c r="AA616" s="32"/>
      <c r="AB616" s="32"/>
      <c r="AC616" s="32"/>
      <c r="AD616" s="32"/>
      <c r="AE616" s="32"/>
    </row>
    <row r="617" spans="1:3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71"/>
      <c r="L617" s="61"/>
      <c r="M617" s="39"/>
      <c r="N617" s="39"/>
      <c r="O617" s="39"/>
      <c r="P617" s="40"/>
      <c r="Q617" s="67"/>
      <c r="R617" s="43"/>
      <c r="S617" s="39"/>
      <c r="T617" s="39"/>
      <c r="U617" s="39"/>
      <c r="V617" s="39"/>
      <c r="W617" s="45"/>
      <c r="X617" s="47"/>
      <c r="Y617" s="39"/>
      <c r="Z617" s="39"/>
      <c r="AA617" s="32"/>
      <c r="AB617" s="32"/>
      <c r="AC617" s="32"/>
      <c r="AD617" s="32"/>
      <c r="AE617" s="32"/>
    </row>
    <row r="618" spans="1:3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71"/>
      <c r="L618" s="61"/>
      <c r="M618" s="39"/>
      <c r="N618" s="39"/>
      <c r="O618" s="39"/>
      <c r="P618" s="40"/>
      <c r="Q618" s="67"/>
      <c r="R618" s="43"/>
      <c r="S618" s="39"/>
      <c r="T618" s="39"/>
      <c r="U618" s="39"/>
      <c r="V618" s="39"/>
      <c r="W618" s="45"/>
      <c r="X618" s="47"/>
      <c r="Y618" s="39"/>
      <c r="Z618" s="39"/>
      <c r="AA618" s="32"/>
      <c r="AB618" s="32"/>
      <c r="AC618" s="32"/>
      <c r="AD618" s="32"/>
      <c r="AE618" s="32"/>
    </row>
    <row r="619" spans="1:3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71"/>
      <c r="L619" s="61"/>
      <c r="M619" s="39"/>
      <c r="N619" s="39"/>
      <c r="O619" s="39"/>
      <c r="P619" s="40"/>
      <c r="Q619" s="67"/>
      <c r="R619" s="43"/>
      <c r="S619" s="39"/>
      <c r="T619" s="39"/>
      <c r="U619" s="39"/>
      <c r="V619" s="39"/>
      <c r="W619" s="45"/>
      <c r="X619" s="47"/>
      <c r="Y619" s="39"/>
      <c r="Z619" s="39"/>
      <c r="AA619" s="32"/>
      <c r="AB619" s="32"/>
      <c r="AC619" s="32"/>
      <c r="AD619" s="32"/>
      <c r="AE619" s="32"/>
    </row>
    <row r="620" spans="1:31">
      <c r="K620" s="73"/>
      <c r="M620" s="70"/>
      <c r="Q620" s="69"/>
    </row>
    <row r="621" spans="1:3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71"/>
      <c r="L621" s="61"/>
      <c r="M621" s="39"/>
      <c r="N621" s="39"/>
      <c r="O621" s="39"/>
      <c r="P621" s="40"/>
      <c r="Q621" s="67"/>
      <c r="R621" s="43"/>
      <c r="S621" s="39"/>
      <c r="T621" s="39"/>
      <c r="U621" s="39"/>
      <c r="V621" s="39"/>
      <c r="W621" s="45"/>
      <c r="X621" s="47"/>
      <c r="Y621" s="39"/>
      <c r="Z621" s="41"/>
      <c r="AA621" s="32"/>
      <c r="AB621" s="32"/>
      <c r="AC621" s="32"/>
      <c r="AD621" s="32"/>
      <c r="AE621" s="32"/>
    </row>
    <row r="622" spans="1:3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71"/>
      <c r="L622" s="61"/>
      <c r="M622" s="39"/>
      <c r="N622" s="39"/>
      <c r="O622" s="39"/>
      <c r="P622" s="40"/>
      <c r="Q622" s="67"/>
      <c r="R622" s="43"/>
      <c r="S622" s="39"/>
      <c r="T622" s="39"/>
      <c r="U622" s="39"/>
      <c r="V622" s="39"/>
      <c r="W622" s="45"/>
      <c r="X622" s="47"/>
      <c r="Y622" s="39"/>
      <c r="Z622" s="41"/>
      <c r="AA622" s="32"/>
      <c r="AB622" s="32"/>
      <c r="AC622" s="32"/>
      <c r="AD622" s="32"/>
      <c r="AE622" s="32"/>
    </row>
    <row r="623" spans="1:3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71"/>
      <c r="L623" s="61"/>
      <c r="M623" s="39"/>
      <c r="N623" s="39"/>
      <c r="O623" s="39"/>
      <c r="P623" s="40"/>
      <c r="Q623" s="67"/>
      <c r="R623" s="43"/>
      <c r="S623" s="39"/>
      <c r="T623" s="39"/>
      <c r="U623" s="39"/>
      <c r="V623" s="39"/>
      <c r="W623" s="45"/>
      <c r="X623" s="47"/>
      <c r="Y623" s="39"/>
      <c r="Z623" s="41"/>
      <c r="AA623" s="32"/>
      <c r="AB623" s="32"/>
      <c r="AC623" s="32"/>
      <c r="AD623" s="32"/>
      <c r="AE623" s="32"/>
    </row>
    <row r="624" spans="1:3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72"/>
      <c r="L624" s="60"/>
      <c r="M624" s="37"/>
      <c r="N624" s="37"/>
      <c r="O624" s="37"/>
      <c r="P624" s="38"/>
      <c r="Q624" s="68"/>
      <c r="R624" s="42"/>
      <c r="S624" s="37"/>
      <c r="T624" s="37"/>
      <c r="U624" s="37"/>
      <c r="V624" s="37"/>
      <c r="W624" s="45"/>
      <c r="X624" s="47"/>
      <c r="Y624" s="39"/>
      <c r="Z624" s="39"/>
      <c r="AA624" s="33"/>
      <c r="AB624" s="33"/>
      <c r="AC624" s="33"/>
      <c r="AD624" s="33"/>
      <c r="AE624" s="33"/>
    </row>
    <row r="625" spans="1:3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71"/>
      <c r="L625" s="61"/>
      <c r="M625" s="39"/>
      <c r="N625" s="39"/>
      <c r="O625" s="39"/>
      <c r="P625" s="40"/>
      <c r="Q625" s="67"/>
      <c r="R625" s="43"/>
      <c r="S625" s="39"/>
      <c r="T625" s="39"/>
      <c r="U625" s="39"/>
      <c r="V625" s="39"/>
      <c r="W625" s="45"/>
      <c r="X625" s="47"/>
      <c r="Y625" s="39"/>
      <c r="Z625" s="39"/>
      <c r="AA625" s="32"/>
      <c r="AB625" s="32"/>
      <c r="AC625" s="32"/>
      <c r="AD625" s="32"/>
      <c r="AE625" s="32"/>
    </row>
    <row r="626" spans="1:3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71"/>
      <c r="L626" s="61"/>
      <c r="M626" s="39"/>
      <c r="N626" s="39"/>
      <c r="O626" s="39"/>
      <c r="P626" s="40"/>
      <c r="Q626" s="67"/>
      <c r="R626" s="43"/>
      <c r="S626" s="39"/>
      <c r="T626" s="39"/>
      <c r="U626" s="39"/>
      <c r="V626" s="39"/>
      <c r="W626" s="45"/>
      <c r="X626" s="47"/>
      <c r="Y626" s="39"/>
      <c r="Z626" s="39"/>
      <c r="AA626" s="32"/>
      <c r="AB626" s="32"/>
      <c r="AC626" s="32"/>
      <c r="AD626" s="32"/>
      <c r="AE626" s="32"/>
    </row>
    <row r="627" spans="1:3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71"/>
      <c r="L627" s="61"/>
      <c r="M627" s="39"/>
      <c r="N627" s="39"/>
      <c r="O627" s="39"/>
      <c r="P627" s="40"/>
      <c r="Q627" s="67"/>
      <c r="R627" s="43"/>
      <c r="S627" s="39"/>
      <c r="T627" s="39"/>
      <c r="U627" s="39"/>
      <c r="V627" s="39"/>
      <c r="W627" s="45"/>
      <c r="X627" s="47"/>
      <c r="Y627" s="39"/>
      <c r="Z627" s="39"/>
      <c r="AA627" s="32"/>
      <c r="AB627" s="32"/>
      <c r="AC627" s="32"/>
      <c r="AD627" s="32"/>
      <c r="AE627" s="32"/>
    </row>
    <row r="628" spans="1:3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71"/>
      <c r="L628" s="61"/>
      <c r="M628" s="39"/>
      <c r="N628" s="39"/>
      <c r="O628" s="39"/>
      <c r="P628" s="40"/>
      <c r="Q628" s="67"/>
      <c r="R628" s="43"/>
      <c r="S628" s="39"/>
      <c r="T628" s="39"/>
      <c r="U628" s="39"/>
      <c r="V628" s="39"/>
      <c r="W628" s="45"/>
      <c r="X628" s="47"/>
      <c r="Y628" s="39"/>
      <c r="Z628" s="39"/>
      <c r="AA628" s="32"/>
      <c r="AB628" s="32"/>
      <c r="AC628" s="32"/>
      <c r="AD628" s="32"/>
      <c r="AE628" s="32"/>
    </row>
    <row r="629" spans="1:31">
      <c r="K629" s="73"/>
      <c r="M629" s="70"/>
      <c r="Q629" s="69"/>
    </row>
    <row r="630" spans="1:3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71"/>
      <c r="L630" s="61"/>
      <c r="M630" s="39"/>
      <c r="N630" s="39"/>
      <c r="O630" s="39"/>
      <c r="P630" s="40"/>
      <c r="Q630" s="67"/>
      <c r="R630" s="43"/>
      <c r="S630" s="39"/>
      <c r="T630" s="39"/>
      <c r="U630" s="39"/>
      <c r="V630" s="39"/>
      <c r="W630" s="45"/>
      <c r="X630" s="47"/>
      <c r="Y630" s="39"/>
      <c r="Z630" s="41"/>
      <c r="AA630" s="32"/>
      <c r="AB630" s="32"/>
      <c r="AC630" s="32"/>
      <c r="AD630" s="32"/>
      <c r="AE630" s="32"/>
    </row>
    <row r="631" spans="1: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71"/>
      <c r="L631" s="61"/>
      <c r="M631" s="39"/>
      <c r="N631" s="39"/>
      <c r="O631" s="39"/>
      <c r="P631" s="40"/>
      <c r="Q631" s="67"/>
      <c r="R631" s="43"/>
      <c r="S631" s="39"/>
      <c r="T631" s="39"/>
      <c r="U631" s="39"/>
      <c r="V631" s="39"/>
      <c r="W631" s="45"/>
      <c r="X631" s="47"/>
      <c r="Y631" s="39"/>
      <c r="Z631" s="41"/>
      <c r="AA631" s="32"/>
      <c r="AB631" s="32"/>
      <c r="AC631" s="32"/>
      <c r="AD631" s="32"/>
      <c r="AE631" s="32"/>
    </row>
    <row r="632" spans="1:3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71"/>
      <c r="L632" s="61"/>
      <c r="M632" s="39"/>
      <c r="N632" s="39"/>
      <c r="O632" s="39"/>
      <c r="P632" s="40"/>
      <c r="Q632" s="67"/>
      <c r="R632" s="43"/>
      <c r="S632" s="39"/>
      <c r="T632" s="39"/>
      <c r="U632" s="39"/>
      <c r="V632" s="39"/>
      <c r="W632" s="45"/>
      <c r="X632" s="47"/>
      <c r="Y632" s="39"/>
      <c r="Z632" s="41"/>
      <c r="AA632" s="32"/>
      <c r="AB632" s="32"/>
      <c r="AC632" s="32"/>
      <c r="AD632" s="32"/>
      <c r="AE632" s="32"/>
    </row>
    <row r="633" spans="1:3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72"/>
      <c r="L633" s="60"/>
      <c r="M633" s="37"/>
      <c r="N633" s="37"/>
      <c r="O633" s="37"/>
      <c r="P633" s="38"/>
      <c r="Q633" s="68"/>
      <c r="R633" s="42"/>
      <c r="S633" s="37"/>
      <c r="T633" s="37"/>
      <c r="U633" s="37"/>
      <c r="V633" s="37"/>
      <c r="W633" s="45"/>
      <c r="X633" s="47"/>
      <c r="Y633" s="39"/>
      <c r="Z633" s="39"/>
      <c r="AA633" s="33"/>
      <c r="AB633" s="33"/>
      <c r="AC633" s="33"/>
      <c r="AD633" s="33"/>
      <c r="AE633" s="33"/>
    </row>
    <row r="634" spans="1:3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71"/>
      <c r="L634" s="61"/>
      <c r="M634" s="39"/>
      <c r="N634" s="39"/>
      <c r="O634" s="39"/>
      <c r="P634" s="40"/>
      <c r="Q634" s="67"/>
      <c r="R634" s="43"/>
      <c r="S634" s="39"/>
      <c r="T634" s="39"/>
      <c r="U634" s="39"/>
      <c r="V634" s="39"/>
      <c r="W634" s="45"/>
      <c r="X634" s="47"/>
      <c r="Y634" s="39"/>
      <c r="Z634" s="39"/>
      <c r="AA634" s="32"/>
      <c r="AB634" s="32"/>
      <c r="AC634" s="32"/>
      <c r="AD634" s="32"/>
      <c r="AE634" s="32"/>
    </row>
    <row r="635" spans="1:3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71"/>
      <c r="L635" s="61"/>
      <c r="M635" s="39"/>
      <c r="N635" s="39"/>
      <c r="O635" s="39"/>
      <c r="P635" s="40"/>
      <c r="Q635" s="67"/>
      <c r="R635" s="43"/>
      <c r="S635" s="39"/>
      <c r="T635" s="39"/>
      <c r="U635" s="39"/>
      <c r="V635" s="39"/>
      <c r="W635" s="45"/>
      <c r="X635" s="47"/>
      <c r="Y635" s="39"/>
      <c r="Z635" s="39"/>
      <c r="AA635" s="32"/>
      <c r="AB635" s="32"/>
      <c r="AC635" s="32"/>
      <c r="AD635" s="32"/>
      <c r="AE635" s="32"/>
    </row>
    <row r="636" spans="1:3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71"/>
      <c r="L636" s="61"/>
      <c r="M636" s="39"/>
      <c r="N636" s="39"/>
      <c r="O636" s="39"/>
      <c r="P636" s="40"/>
      <c r="Q636" s="67"/>
      <c r="R636" s="43"/>
      <c r="S636" s="39"/>
      <c r="T636" s="39"/>
      <c r="U636" s="39"/>
      <c r="V636" s="39"/>
      <c r="W636" s="45"/>
      <c r="X636" s="47"/>
      <c r="Y636" s="39"/>
      <c r="Z636" s="39"/>
      <c r="AA636" s="32"/>
      <c r="AB636" s="32"/>
      <c r="AC636" s="32"/>
      <c r="AD636" s="32"/>
      <c r="AE636" s="32"/>
    </row>
    <row r="637" spans="1:3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71"/>
      <c r="L637" s="61"/>
      <c r="M637" s="39"/>
      <c r="N637" s="39"/>
      <c r="O637" s="39"/>
      <c r="P637" s="40"/>
      <c r="Q637" s="67"/>
      <c r="R637" s="43"/>
      <c r="S637" s="39"/>
      <c r="T637" s="39"/>
      <c r="U637" s="39"/>
      <c r="V637" s="39"/>
      <c r="W637" s="45"/>
      <c r="X637" s="47"/>
      <c r="Y637" s="39"/>
      <c r="Z637" s="39"/>
      <c r="AA637" s="32"/>
      <c r="AB637" s="32"/>
      <c r="AC637" s="32"/>
      <c r="AD637" s="32"/>
      <c r="AE637" s="32"/>
    </row>
    <row r="638" spans="1:31">
      <c r="K638" s="73"/>
      <c r="M638" s="70"/>
      <c r="Q638" s="69"/>
    </row>
    <row r="639" spans="1:3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71"/>
      <c r="L639" s="61"/>
      <c r="M639" s="39"/>
      <c r="N639" s="39"/>
      <c r="O639" s="39"/>
      <c r="P639" s="40"/>
      <c r="Q639" s="67"/>
      <c r="R639" s="43"/>
      <c r="S639" s="39"/>
      <c r="T639" s="39"/>
      <c r="U639" s="39"/>
      <c r="V639" s="39"/>
      <c r="W639" s="45"/>
      <c r="X639" s="47"/>
      <c r="Y639" s="39"/>
      <c r="Z639" s="41"/>
      <c r="AA639" s="32"/>
      <c r="AB639" s="32"/>
      <c r="AC639" s="32"/>
      <c r="AD639" s="32"/>
      <c r="AE639" s="32"/>
    </row>
    <row r="640" spans="1:3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71"/>
      <c r="L640" s="61"/>
      <c r="M640" s="39"/>
      <c r="N640" s="39"/>
      <c r="O640" s="39"/>
      <c r="P640" s="40"/>
      <c r="Q640" s="67"/>
      <c r="R640" s="43"/>
      <c r="S640" s="39"/>
      <c r="T640" s="39"/>
      <c r="U640" s="39"/>
      <c r="V640" s="39"/>
      <c r="W640" s="45"/>
      <c r="X640" s="47"/>
      <c r="Y640" s="39"/>
      <c r="Z640" s="41"/>
      <c r="AA640" s="32"/>
      <c r="AB640" s="32"/>
      <c r="AC640" s="32"/>
      <c r="AD640" s="32"/>
      <c r="AE640" s="32"/>
    </row>
    <row r="641" spans="1:3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71"/>
      <c r="L641" s="61"/>
      <c r="M641" s="39"/>
      <c r="N641" s="39"/>
      <c r="O641" s="39"/>
      <c r="P641" s="40"/>
      <c r="Q641" s="67"/>
      <c r="R641" s="43"/>
      <c r="S641" s="39"/>
      <c r="T641" s="39"/>
      <c r="U641" s="39"/>
      <c r="V641" s="39"/>
      <c r="W641" s="45"/>
      <c r="X641" s="47"/>
      <c r="Y641" s="39"/>
      <c r="Z641" s="41"/>
      <c r="AA641" s="32"/>
      <c r="AB641" s="32"/>
      <c r="AC641" s="32"/>
      <c r="AD641" s="32"/>
      <c r="AE641" s="32"/>
    </row>
    <row r="642" spans="1:3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72"/>
      <c r="L642" s="60"/>
      <c r="M642" s="37"/>
      <c r="N642" s="37"/>
      <c r="O642" s="37"/>
      <c r="P642" s="38"/>
      <c r="Q642" s="68"/>
      <c r="R642" s="42"/>
      <c r="S642" s="37"/>
      <c r="T642" s="37"/>
      <c r="U642" s="37"/>
      <c r="V642" s="37"/>
      <c r="W642" s="45"/>
      <c r="X642" s="47"/>
      <c r="Y642" s="39"/>
      <c r="Z642" s="39"/>
      <c r="AA642" s="33"/>
      <c r="AB642" s="33"/>
      <c r="AC642" s="33"/>
      <c r="AD642" s="33"/>
      <c r="AE642" s="33"/>
    </row>
    <row r="643" spans="1:3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71"/>
      <c r="L643" s="61"/>
      <c r="M643" s="39"/>
      <c r="N643" s="39"/>
      <c r="O643" s="39"/>
      <c r="P643" s="40"/>
      <c r="Q643" s="67"/>
      <c r="R643" s="43"/>
      <c r="S643" s="39"/>
      <c r="T643" s="39"/>
      <c r="U643" s="39"/>
      <c r="V643" s="39"/>
      <c r="W643" s="45"/>
      <c r="X643" s="47"/>
      <c r="Y643" s="39"/>
      <c r="Z643" s="39"/>
      <c r="AA643" s="32"/>
      <c r="AB643" s="32"/>
      <c r="AC643" s="32"/>
      <c r="AD643" s="32"/>
      <c r="AE643" s="32"/>
    </row>
    <row r="644" spans="1:3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71"/>
      <c r="L644" s="61"/>
      <c r="M644" s="39"/>
      <c r="N644" s="39"/>
      <c r="O644" s="39"/>
      <c r="P644" s="40"/>
      <c r="Q644" s="67"/>
      <c r="R644" s="43"/>
      <c r="S644" s="39"/>
      <c r="T644" s="39"/>
      <c r="U644" s="39"/>
      <c r="V644" s="39"/>
      <c r="W644" s="45"/>
      <c r="X644" s="47"/>
      <c r="Y644" s="39"/>
      <c r="Z644" s="39"/>
      <c r="AA644" s="32"/>
      <c r="AB644" s="32"/>
      <c r="AC644" s="32"/>
      <c r="AD644" s="32"/>
      <c r="AE644" s="32"/>
    </row>
    <row r="645" spans="1:3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71"/>
      <c r="L645" s="61"/>
      <c r="M645" s="39"/>
      <c r="N645" s="39"/>
      <c r="O645" s="39"/>
      <c r="P645" s="40"/>
      <c r="Q645" s="67"/>
      <c r="R645" s="43"/>
      <c r="S645" s="39"/>
      <c r="T645" s="39"/>
      <c r="U645" s="39"/>
      <c r="V645" s="39"/>
      <c r="W645" s="45"/>
      <c r="X645" s="47"/>
      <c r="Y645" s="39"/>
      <c r="Z645" s="39"/>
      <c r="AA645" s="32"/>
      <c r="AB645" s="32"/>
      <c r="AC645" s="32"/>
      <c r="AD645" s="32"/>
      <c r="AE645" s="32"/>
    </row>
    <row r="646" spans="1:3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71"/>
      <c r="L646" s="61"/>
      <c r="M646" s="39"/>
      <c r="N646" s="39"/>
      <c r="O646" s="39"/>
      <c r="P646" s="40"/>
      <c r="Q646" s="67"/>
      <c r="R646" s="43"/>
      <c r="S646" s="39"/>
      <c r="T646" s="39"/>
      <c r="U646" s="39"/>
      <c r="V646" s="39"/>
      <c r="W646" s="45"/>
      <c r="X646" s="47"/>
      <c r="Y646" s="39"/>
      <c r="Z646" s="39"/>
      <c r="AA646" s="32"/>
      <c r="AB646" s="32"/>
      <c r="AC646" s="32"/>
      <c r="AD646" s="32"/>
      <c r="AE646" s="32"/>
    </row>
    <row r="647" spans="1:31">
      <c r="K647" s="73"/>
      <c r="M647" s="70"/>
      <c r="Q647" s="69"/>
    </row>
    <row r="648" spans="1:3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71"/>
      <c r="L648" s="61"/>
      <c r="M648" s="39"/>
      <c r="N648" s="39"/>
      <c r="O648" s="39"/>
      <c r="P648" s="40"/>
      <c r="Q648" s="67"/>
      <c r="R648" s="43"/>
      <c r="S648" s="39"/>
      <c r="T648" s="39"/>
      <c r="U648" s="39"/>
      <c r="V648" s="39"/>
      <c r="W648" s="45"/>
      <c r="X648" s="47"/>
      <c r="Y648" s="39"/>
      <c r="Z648" s="41"/>
      <c r="AA648" s="32"/>
      <c r="AB648" s="32"/>
      <c r="AC648" s="32"/>
      <c r="AD648" s="32"/>
      <c r="AE648" s="32"/>
    </row>
    <row r="649" spans="1:3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71"/>
      <c r="L649" s="61"/>
      <c r="M649" s="39"/>
      <c r="N649" s="39"/>
      <c r="O649" s="39"/>
      <c r="P649" s="40"/>
      <c r="Q649" s="67"/>
      <c r="R649" s="43"/>
      <c r="S649" s="39"/>
      <c r="T649" s="39"/>
      <c r="U649" s="39"/>
      <c r="V649" s="39"/>
      <c r="W649" s="45"/>
      <c r="X649" s="47"/>
      <c r="Y649" s="39"/>
      <c r="Z649" s="41"/>
      <c r="AA649" s="32"/>
      <c r="AB649" s="32"/>
      <c r="AC649" s="32"/>
      <c r="AD649" s="32"/>
      <c r="AE649" s="32"/>
    </row>
    <row r="650" spans="1:3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71"/>
      <c r="L650" s="61"/>
      <c r="M650" s="39"/>
      <c r="N650" s="39"/>
      <c r="O650" s="39"/>
      <c r="P650" s="40"/>
      <c r="Q650" s="67"/>
      <c r="R650" s="43"/>
      <c r="S650" s="39"/>
      <c r="T650" s="39"/>
      <c r="U650" s="39"/>
      <c r="V650" s="39"/>
      <c r="W650" s="45"/>
      <c r="X650" s="47"/>
      <c r="Y650" s="39"/>
      <c r="Z650" s="41"/>
      <c r="AA650" s="32"/>
      <c r="AB650" s="32"/>
      <c r="AC650" s="32"/>
      <c r="AD650" s="32"/>
      <c r="AE650" s="32"/>
    </row>
    <row r="651" spans="1:3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72"/>
      <c r="L651" s="60"/>
      <c r="M651" s="37"/>
      <c r="N651" s="37"/>
      <c r="O651" s="37"/>
      <c r="P651" s="38"/>
      <c r="Q651" s="68"/>
      <c r="R651" s="42"/>
      <c r="S651" s="37"/>
      <c r="T651" s="37"/>
      <c r="U651" s="37"/>
      <c r="V651" s="37"/>
      <c r="W651" s="45"/>
      <c r="X651" s="47"/>
      <c r="Y651" s="39"/>
      <c r="Z651" s="39"/>
      <c r="AA651" s="33"/>
      <c r="AB651" s="33"/>
      <c r="AC651" s="33"/>
      <c r="AD651" s="33"/>
      <c r="AE651" s="33"/>
    </row>
    <row r="652" spans="1:3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71"/>
      <c r="L652" s="61"/>
      <c r="M652" s="39"/>
      <c r="N652" s="39"/>
      <c r="O652" s="39"/>
      <c r="P652" s="40"/>
      <c r="Q652" s="67"/>
      <c r="R652" s="43"/>
      <c r="S652" s="39"/>
      <c r="T652" s="39"/>
      <c r="U652" s="39"/>
      <c r="V652" s="39"/>
      <c r="W652" s="45"/>
      <c r="X652" s="47"/>
      <c r="Y652" s="39"/>
      <c r="Z652" s="39"/>
      <c r="AA652" s="32"/>
      <c r="AB652" s="32"/>
      <c r="AC652" s="32"/>
      <c r="AD652" s="32"/>
      <c r="AE652" s="32"/>
    </row>
    <row r="653" spans="1:3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71"/>
      <c r="L653" s="61"/>
      <c r="M653" s="39"/>
      <c r="N653" s="39"/>
      <c r="O653" s="39"/>
      <c r="P653" s="40"/>
      <c r="Q653" s="67"/>
      <c r="R653" s="43"/>
      <c r="S653" s="39"/>
      <c r="T653" s="39"/>
      <c r="U653" s="39"/>
      <c r="V653" s="39"/>
      <c r="W653" s="45"/>
      <c r="X653" s="47"/>
      <c r="Y653" s="39"/>
      <c r="Z653" s="39"/>
      <c r="AA653" s="32"/>
      <c r="AB653" s="32"/>
      <c r="AC653" s="32"/>
      <c r="AD653" s="32"/>
      <c r="AE653" s="32"/>
    </row>
    <row r="654" spans="1:3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71"/>
      <c r="L654" s="61"/>
      <c r="M654" s="39"/>
      <c r="N654" s="39"/>
      <c r="O654" s="39"/>
      <c r="P654" s="40"/>
      <c r="Q654" s="67"/>
      <c r="R654" s="43"/>
      <c r="S654" s="39"/>
      <c r="T654" s="39"/>
      <c r="U654" s="39"/>
      <c r="V654" s="39"/>
      <c r="W654" s="45"/>
      <c r="X654" s="47"/>
      <c r="Y654" s="39"/>
      <c r="Z654" s="39"/>
      <c r="AA654" s="32"/>
      <c r="AB654" s="32"/>
      <c r="AC654" s="32"/>
      <c r="AD654" s="32"/>
      <c r="AE654" s="32"/>
    </row>
    <row r="655" spans="1:3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71"/>
      <c r="L655" s="61"/>
      <c r="M655" s="39"/>
      <c r="N655" s="39"/>
      <c r="O655" s="39"/>
      <c r="P655" s="40"/>
      <c r="Q655" s="67"/>
      <c r="R655" s="43"/>
      <c r="S655" s="39"/>
      <c r="T655" s="39"/>
      <c r="U655" s="39"/>
      <c r="V655" s="39"/>
      <c r="W655" s="45"/>
      <c r="X655" s="47"/>
      <c r="Y655" s="39"/>
      <c r="Z655" s="39"/>
      <c r="AA655" s="32"/>
      <c r="AB655" s="32"/>
      <c r="AC655" s="32"/>
      <c r="AD655" s="32"/>
      <c r="AE655" s="32"/>
    </row>
    <row r="656" spans="1:31">
      <c r="K656" s="73"/>
      <c r="M656" s="70"/>
      <c r="Q656" s="69"/>
      <c r="W656" s="74"/>
    </row>
    <row r="657" spans="1:3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71"/>
      <c r="L657" s="61"/>
      <c r="M657" s="39"/>
      <c r="N657" s="39"/>
      <c r="O657" s="39"/>
      <c r="P657" s="40"/>
      <c r="Q657" s="67"/>
      <c r="R657" s="43"/>
      <c r="S657" s="39"/>
      <c r="T657" s="39"/>
      <c r="U657" s="39"/>
      <c r="V657" s="39"/>
      <c r="W657" s="45"/>
      <c r="X657" s="47"/>
      <c r="Y657" s="39"/>
      <c r="Z657" s="41"/>
      <c r="AA657" s="32"/>
      <c r="AB657" s="32"/>
      <c r="AC657" s="32"/>
      <c r="AD657" s="32"/>
      <c r="AE657" s="32"/>
    </row>
    <row r="658" spans="1:3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71"/>
      <c r="L658" s="61"/>
      <c r="M658" s="39"/>
      <c r="N658" s="39"/>
      <c r="O658" s="39"/>
      <c r="P658" s="40"/>
      <c r="Q658" s="67"/>
      <c r="R658" s="43"/>
      <c r="S658" s="39"/>
      <c r="T658" s="39"/>
      <c r="U658" s="39"/>
      <c r="V658" s="39"/>
      <c r="W658" s="45"/>
      <c r="X658" s="47"/>
      <c r="Y658" s="39"/>
      <c r="Z658" s="41"/>
      <c r="AA658" s="32"/>
      <c r="AB658" s="32"/>
      <c r="AC658" s="32"/>
      <c r="AD658" s="32"/>
      <c r="AE658" s="32"/>
    </row>
    <row r="659" spans="1:3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71"/>
      <c r="L659" s="61"/>
      <c r="M659" s="39"/>
      <c r="N659" s="39"/>
      <c r="O659" s="39"/>
      <c r="P659" s="40"/>
      <c r="Q659" s="67"/>
      <c r="R659" s="43"/>
      <c r="S659" s="39"/>
      <c r="T659" s="39"/>
      <c r="U659" s="39"/>
      <c r="V659" s="39"/>
      <c r="W659" s="45"/>
      <c r="X659" s="47"/>
      <c r="Y659" s="39"/>
      <c r="Z659" s="41"/>
      <c r="AA659" s="32"/>
      <c r="AB659" s="32"/>
      <c r="AC659" s="32"/>
      <c r="AD659" s="32"/>
      <c r="AE659" s="32"/>
    </row>
    <row r="660" spans="1:3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72"/>
      <c r="L660" s="60"/>
      <c r="M660" s="37"/>
      <c r="N660" s="37"/>
      <c r="O660" s="37"/>
      <c r="P660" s="38"/>
      <c r="Q660" s="68"/>
      <c r="R660" s="42"/>
      <c r="S660" s="37"/>
      <c r="T660" s="37"/>
      <c r="U660" s="37"/>
      <c r="V660" s="37"/>
      <c r="W660" s="45"/>
      <c r="X660" s="47"/>
      <c r="Y660" s="39"/>
      <c r="Z660" s="39"/>
      <c r="AA660" s="33"/>
      <c r="AB660" s="33"/>
      <c r="AC660" s="33"/>
      <c r="AD660" s="33"/>
      <c r="AE660" s="33"/>
    </row>
    <row r="661" spans="1:3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71"/>
      <c r="L661" s="61"/>
      <c r="M661" s="39"/>
      <c r="N661" s="39"/>
      <c r="O661" s="39"/>
      <c r="P661" s="40"/>
      <c r="Q661" s="67"/>
      <c r="R661" s="43"/>
      <c r="S661" s="39"/>
      <c r="T661" s="39"/>
      <c r="U661" s="39"/>
      <c r="V661" s="39"/>
      <c r="W661" s="45"/>
      <c r="X661" s="47"/>
      <c r="Y661" s="39"/>
      <c r="Z661" s="39"/>
      <c r="AA661" s="32"/>
      <c r="AB661" s="32"/>
      <c r="AC661" s="32"/>
      <c r="AD661" s="32"/>
      <c r="AE661" s="32"/>
    </row>
    <row r="662" spans="1:3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71"/>
      <c r="L662" s="61"/>
      <c r="M662" s="39"/>
      <c r="N662" s="39"/>
      <c r="O662" s="39"/>
      <c r="P662" s="40"/>
      <c r="Q662" s="67"/>
      <c r="R662" s="43"/>
      <c r="S662" s="39"/>
      <c r="T662" s="39"/>
      <c r="U662" s="39"/>
      <c r="V662" s="39"/>
      <c r="W662" s="45"/>
      <c r="X662" s="47"/>
      <c r="Y662" s="39"/>
      <c r="Z662" s="39"/>
      <c r="AA662" s="32"/>
      <c r="AB662" s="32"/>
      <c r="AC662" s="32"/>
      <c r="AD662" s="32"/>
      <c r="AE662" s="32"/>
    </row>
    <row r="663" spans="1:3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71"/>
      <c r="L663" s="61"/>
      <c r="M663" s="39"/>
      <c r="N663" s="39"/>
      <c r="O663" s="39"/>
      <c r="P663" s="40"/>
      <c r="Q663" s="67"/>
      <c r="R663" s="43"/>
      <c r="S663" s="39"/>
      <c r="T663" s="39"/>
      <c r="U663" s="39"/>
      <c r="V663" s="39"/>
      <c r="W663" s="45"/>
      <c r="X663" s="47"/>
      <c r="Y663" s="39"/>
      <c r="Z663" s="39"/>
      <c r="AA663" s="32"/>
      <c r="AB663" s="32"/>
      <c r="AC663" s="32"/>
      <c r="AD663" s="32"/>
      <c r="AE663" s="32"/>
    </row>
    <row r="664" spans="1:3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71"/>
      <c r="L664" s="61"/>
      <c r="M664" s="39"/>
      <c r="N664" s="39"/>
      <c r="O664" s="39"/>
      <c r="P664" s="40"/>
      <c r="Q664" s="67"/>
      <c r="R664" s="43"/>
      <c r="S664" s="39"/>
      <c r="T664" s="39"/>
      <c r="U664" s="39"/>
      <c r="V664" s="39"/>
      <c r="W664" s="45"/>
      <c r="X664" s="47"/>
      <c r="Y664" s="39"/>
      <c r="Z664" s="39"/>
      <c r="AA664" s="32"/>
      <c r="AB664" s="32"/>
      <c r="AC664" s="32"/>
      <c r="AD664" s="32"/>
      <c r="AE664" s="32"/>
    </row>
    <row r="665" spans="1:31">
      <c r="K665" s="73"/>
      <c r="M665" s="70"/>
      <c r="Q665" s="69"/>
      <c r="R665" s="70"/>
      <c r="U665" s="70"/>
    </row>
    <row r="666" spans="1:3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71"/>
      <c r="L666" s="61"/>
      <c r="M666" s="39"/>
      <c r="N666" s="39"/>
      <c r="O666" s="39"/>
      <c r="P666" s="40"/>
      <c r="Q666" s="67"/>
      <c r="R666" s="43"/>
      <c r="S666" s="39"/>
      <c r="T666" s="39"/>
      <c r="U666" s="39"/>
      <c r="V666" s="39"/>
      <c r="W666" s="45"/>
      <c r="X666" s="47"/>
      <c r="Y666" s="39"/>
      <c r="Z666" s="41"/>
      <c r="AA666" s="32"/>
      <c r="AB666" s="32"/>
      <c r="AC666" s="32"/>
      <c r="AD666" s="32"/>
      <c r="AE666" s="32"/>
    </row>
    <row r="667" spans="1:3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71"/>
      <c r="L667" s="61"/>
      <c r="M667" s="39"/>
      <c r="N667" s="39"/>
      <c r="O667" s="39"/>
      <c r="P667" s="40"/>
      <c r="Q667" s="67"/>
      <c r="R667" s="43"/>
      <c r="S667" s="39"/>
      <c r="T667" s="39"/>
      <c r="U667" s="39"/>
      <c r="V667" s="39"/>
      <c r="W667" s="45"/>
      <c r="X667" s="47"/>
      <c r="Y667" s="39"/>
      <c r="Z667" s="41"/>
      <c r="AA667" s="32"/>
      <c r="AB667" s="32"/>
      <c r="AC667" s="32"/>
      <c r="AD667" s="32"/>
      <c r="AE667" s="32"/>
    </row>
    <row r="668" spans="1:3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71"/>
      <c r="L668" s="61"/>
      <c r="M668" s="39"/>
      <c r="N668" s="39"/>
      <c r="O668" s="39"/>
      <c r="P668" s="40"/>
      <c r="Q668" s="67"/>
      <c r="R668" s="43"/>
      <c r="S668" s="39"/>
      <c r="T668" s="39"/>
      <c r="U668" s="39"/>
      <c r="V668" s="39"/>
      <c r="W668" s="45"/>
      <c r="X668" s="47"/>
      <c r="Y668" s="39"/>
      <c r="Z668" s="41"/>
      <c r="AA668" s="32"/>
      <c r="AB668" s="32"/>
      <c r="AC668" s="32"/>
      <c r="AD668" s="32"/>
      <c r="AE668" s="32"/>
    </row>
    <row r="669" spans="1:3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72"/>
      <c r="L669" s="60"/>
      <c r="M669" s="37"/>
      <c r="N669" s="37"/>
      <c r="O669" s="37"/>
      <c r="P669" s="38"/>
      <c r="Q669" s="68"/>
      <c r="R669" s="42"/>
      <c r="S669" s="37"/>
      <c r="T669" s="37"/>
      <c r="U669" s="37"/>
      <c r="V669" s="37"/>
      <c r="W669" s="45"/>
      <c r="X669" s="47"/>
      <c r="Y669" s="39"/>
      <c r="Z669" s="39"/>
      <c r="AA669" s="33"/>
      <c r="AB669" s="33"/>
      <c r="AC669" s="33"/>
      <c r="AD669" s="33"/>
      <c r="AE669" s="33"/>
    </row>
    <row r="670" spans="1:3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71"/>
      <c r="L670" s="61"/>
      <c r="M670" s="39"/>
      <c r="N670" s="39"/>
      <c r="O670" s="39"/>
      <c r="P670" s="40"/>
      <c r="Q670" s="67"/>
      <c r="R670" s="43"/>
      <c r="S670" s="39"/>
      <c r="T670" s="39"/>
      <c r="U670" s="39"/>
      <c r="V670" s="39"/>
      <c r="W670" s="45"/>
      <c r="X670" s="47"/>
      <c r="Y670" s="39"/>
      <c r="Z670" s="39"/>
      <c r="AA670" s="32"/>
      <c r="AB670" s="32"/>
      <c r="AC670" s="32"/>
      <c r="AD670" s="32"/>
      <c r="AE670" s="32"/>
    </row>
    <row r="671" spans="1:3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71"/>
      <c r="L671" s="61"/>
      <c r="M671" s="39"/>
      <c r="N671" s="39"/>
      <c r="O671" s="39"/>
      <c r="P671" s="40"/>
      <c r="Q671" s="67"/>
      <c r="R671" s="43"/>
      <c r="S671" s="39"/>
      <c r="T671" s="39"/>
      <c r="U671" s="39"/>
      <c r="V671" s="39"/>
      <c r="W671" s="45"/>
      <c r="X671" s="47"/>
      <c r="Y671" s="39"/>
      <c r="Z671" s="39"/>
      <c r="AA671" s="32"/>
      <c r="AB671" s="32"/>
      <c r="AC671" s="32"/>
      <c r="AD671" s="32"/>
      <c r="AE671" s="32"/>
    </row>
    <row r="672" spans="1:3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71"/>
      <c r="L672" s="61"/>
      <c r="M672" s="39"/>
      <c r="N672" s="39"/>
      <c r="O672" s="39"/>
      <c r="P672" s="40"/>
      <c r="Q672" s="67"/>
      <c r="R672" s="43"/>
      <c r="S672" s="39"/>
      <c r="T672" s="39"/>
      <c r="U672" s="39"/>
      <c r="V672" s="39"/>
      <c r="W672" s="45"/>
      <c r="X672" s="47"/>
      <c r="Y672" s="39"/>
      <c r="Z672" s="39"/>
      <c r="AA672" s="32"/>
      <c r="AB672" s="32"/>
      <c r="AC672" s="32"/>
      <c r="AD672" s="32"/>
      <c r="AE672" s="32"/>
    </row>
    <row r="673" spans="1:3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71"/>
      <c r="L673" s="61"/>
      <c r="M673" s="39"/>
      <c r="N673" s="39"/>
      <c r="O673" s="39"/>
      <c r="P673" s="40"/>
      <c r="Q673" s="67"/>
      <c r="R673" s="43"/>
      <c r="S673" s="39"/>
      <c r="T673" s="39"/>
      <c r="U673" s="39"/>
      <c r="V673" s="39"/>
      <c r="W673" s="45"/>
      <c r="X673" s="47"/>
      <c r="Y673" s="39"/>
      <c r="Z673" s="39"/>
      <c r="AA673" s="32"/>
      <c r="AB673" s="32"/>
      <c r="AC673" s="32"/>
      <c r="AD673" s="32"/>
      <c r="AE673" s="32"/>
    </row>
    <row r="674" spans="1:31">
      <c r="K674" s="73"/>
      <c r="M674" s="70"/>
      <c r="Q674" s="69"/>
    </row>
    <row r="675" spans="1:3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71"/>
      <c r="L675" s="61"/>
      <c r="M675" s="39"/>
      <c r="N675" s="39"/>
      <c r="O675" s="39"/>
      <c r="P675" s="40"/>
      <c r="Q675" s="67"/>
      <c r="R675" s="43"/>
      <c r="S675" s="39"/>
      <c r="T675" s="39"/>
      <c r="U675" s="39"/>
      <c r="V675" s="39"/>
      <c r="W675" s="45"/>
      <c r="X675" s="47"/>
      <c r="Y675" s="39"/>
      <c r="Z675" s="41"/>
      <c r="AA675" s="32"/>
      <c r="AB675" s="32"/>
      <c r="AC675" s="32"/>
      <c r="AD675" s="32"/>
      <c r="AE675" s="32"/>
    </row>
    <row r="676" spans="1:3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71"/>
      <c r="L676" s="61"/>
      <c r="M676" s="39"/>
      <c r="N676" s="39"/>
      <c r="O676" s="39"/>
      <c r="P676" s="40"/>
      <c r="Q676" s="67"/>
      <c r="R676" s="43"/>
      <c r="S676" s="39"/>
      <c r="T676" s="39"/>
      <c r="U676" s="39"/>
      <c r="V676" s="39"/>
      <c r="W676" s="45"/>
      <c r="X676" s="47"/>
      <c r="Y676" s="39"/>
      <c r="Z676" s="41"/>
      <c r="AA676" s="32"/>
      <c r="AB676" s="32"/>
      <c r="AC676" s="32"/>
      <c r="AD676" s="32"/>
      <c r="AE676" s="32"/>
    </row>
    <row r="677" spans="1:3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71"/>
      <c r="L677" s="61"/>
      <c r="M677" s="39"/>
      <c r="N677" s="39"/>
      <c r="O677" s="39"/>
      <c r="P677" s="40"/>
      <c r="Q677" s="67"/>
      <c r="R677" s="43"/>
      <c r="S677" s="39"/>
      <c r="T677" s="39"/>
      <c r="U677" s="39"/>
      <c r="V677" s="39"/>
      <c r="W677" s="45"/>
      <c r="X677" s="47"/>
      <c r="Y677" s="39"/>
      <c r="Z677" s="41"/>
      <c r="AA677" s="32"/>
      <c r="AB677" s="32"/>
      <c r="AC677" s="32"/>
      <c r="AD677" s="32"/>
      <c r="AE677" s="32"/>
    </row>
    <row r="678" spans="1:3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72"/>
      <c r="L678" s="60"/>
      <c r="M678" s="37"/>
      <c r="N678" s="37"/>
      <c r="O678" s="37"/>
      <c r="P678" s="38"/>
      <c r="Q678" s="68"/>
      <c r="R678" s="42"/>
      <c r="S678" s="37"/>
      <c r="T678" s="37"/>
      <c r="U678" s="37"/>
      <c r="V678" s="37"/>
      <c r="W678" s="45"/>
      <c r="X678" s="47"/>
      <c r="Y678" s="39"/>
      <c r="Z678" s="39"/>
      <c r="AA678" s="33"/>
      <c r="AB678" s="33"/>
      <c r="AC678" s="33"/>
      <c r="AD678" s="33"/>
      <c r="AE678" s="33"/>
    </row>
    <row r="679" spans="1:3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71"/>
      <c r="L679" s="61"/>
      <c r="M679" s="39"/>
      <c r="N679" s="39"/>
      <c r="O679" s="39"/>
      <c r="P679" s="40"/>
      <c r="Q679" s="67"/>
      <c r="R679" s="43"/>
      <c r="S679" s="39"/>
      <c r="T679" s="39"/>
      <c r="U679" s="39"/>
      <c r="V679" s="39"/>
      <c r="W679" s="45"/>
      <c r="X679" s="47"/>
      <c r="Y679" s="39"/>
      <c r="Z679" s="39"/>
      <c r="AA679" s="32"/>
      <c r="AB679" s="32"/>
      <c r="AC679" s="32"/>
      <c r="AD679" s="32"/>
      <c r="AE679" s="32"/>
    </row>
    <row r="680" spans="1:3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71"/>
      <c r="L680" s="61"/>
      <c r="M680" s="39"/>
      <c r="N680" s="39"/>
      <c r="O680" s="39"/>
      <c r="P680" s="40"/>
      <c r="Q680" s="67"/>
      <c r="R680" s="43"/>
      <c r="S680" s="39"/>
      <c r="T680" s="39"/>
      <c r="U680" s="39"/>
      <c r="V680" s="39"/>
      <c r="W680" s="45"/>
      <c r="X680" s="47"/>
      <c r="Y680" s="39"/>
      <c r="Z680" s="39"/>
      <c r="AA680" s="32"/>
      <c r="AB680" s="32"/>
      <c r="AC680" s="32"/>
      <c r="AD680" s="32"/>
      <c r="AE680" s="32"/>
    </row>
    <row r="681" spans="1:3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71"/>
      <c r="L681" s="61"/>
      <c r="M681" s="39"/>
      <c r="N681" s="39"/>
      <c r="O681" s="39"/>
      <c r="P681" s="40"/>
      <c r="Q681" s="67"/>
      <c r="R681" s="43"/>
      <c r="S681" s="39"/>
      <c r="T681" s="39"/>
      <c r="U681" s="39"/>
      <c r="V681" s="39"/>
      <c r="W681" s="45"/>
      <c r="X681" s="47"/>
      <c r="Y681" s="39"/>
      <c r="Z681" s="39"/>
      <c r="AA681" s="32"/>
      <c r="AB681" s="32"/>
      <c r="AC681" s="32"/>
      <c r="AD681" s="32"/>
      <c r="AE681" s="32"/>
    </row>
    <row r="682" spans="1:3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71"/>
      <c r="L682" s="61"/>
      <c r="M682" s="39"/>
      <c r="N682" s="39"/>
      <c r="O682" s="39"/>
      <c r="P682" s="40"/>
      <c r="Q682" s="67"/>
      <c r="R682" s="43"/>
      <c r="S682" s="39"/>
      <c r="T682" s="39"/>
      <c r="U682" s="39"/>
      <c r="V682" s="39"/>
      <c r="W682" s="45"/>
      <c r="X682" s="47"/>
      <c r="Y682" s="39"/>
      <c r="Z682" s="39"/>
      <c r="AA682" s="32"/>
      <c r="AB682" s="32"/>
      <c r="AC682" s="32"/>
      <c r="AD682" s="32"/>
      <c r="AE682" s="32"/>
    </row>
    <row r="683" spans="1:31">
      <c r="K683" s="73"/>
      <c r="M683" s="70"/>
      <c r="P683" s="70"/>
      <c r="Q683" s="69"/>
      <c r="X683" s="70"/>
      <c r="Y683" s="70"/>
      <c r="Z683" s="70"/>
    </row>
    <row r="684" spans="1:3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71"/>
      <c r="L684" s="61"/>
      <c r="M684" s="39"/>
      <c r="N684" s="39"/>
      <c r="O684" s="39"/>
      <c r="P684" s="40"/>
      <c r="Q684" s="67"/>
      <c r="R684" s="43"/>
      <c r="S684" s="39"/>
      <c r="T684" s="39"/>
      <c r="U684" s="39"/>
      <c r="V684" s="39"/>
      <c r="W684" s="45"/>
      <c r="X684" s="47"/>
      <c r="Y684" s="39"/>
      <c r="Z684" s="41"/>
      <c r="AA684" s="32"/>
      <c r="AB684" s="32"/>
      <c r="AC684" s="32"/>
      <c r="AD684" s="32"/>
      <c r="AE684" s="32"/>
    </row>
    <row r="685" spans="1:3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71"/>
      <c r="L685" s="61"/>
      <c r="M685" s="39"/>
      <c r="N685" s="39"/>
      <c r="O685" s="39"/>
      <c r="P685" s="40"/>
      <c r="Q685" s="67"/>
      <c r="R685" s="43"/>
      <c r="S685" s="39"/>
      <c r="T685" s="39"/>
      <c r="U685" s="39"/>
      <c r="V685" s="39"/>
      <c r="W685" s="45"/>
      <c r="X685" s="47"/>
      <c r="Y685" s="39"/>
      <c r="Z685" s="41"/>
      <c r="AA685" s="32"/>
      <c r="AB685" s="32"/>
      <c r="AC685" s="32"/>
      <c r="AD685" s="32"/>
      <c r="AE685" s="32"/>
    </row>
    <row r="686" spans="1:3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71"/>
      <c r="L686" s="61"/>
      <c r="M686" s="39"/>
      <c r="N686" s="39"/>
      <c r="O686" s="39"/>
      <c r="P686" s="40"/>
      <c r="Q686" s="67"/>
      <c r="R686" s="43"/>
      <c r="S686" s="39"/>
      <c r="T686" s="39"/>
      <c r="U686" s="39"/>
      <c r="V686" s="39"/>
      <c r="W686" s="45"/>
      <c r="X686" s="47"/>
      <c r="Y686" s="39"/>
      <c r="Z686" s="41"/>
      <c r="AA686" s="32"/>
      <c r="AB686" s="32"/>
      <c r="AC686" s="32"/>
      <c r="AD686" s="32"/>
      <c r="AE686" s="32"/>
    </row>
    <row r="687" spans="1:3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72"/>
      <c r="L687" s="60"/>
      <c r="M687" s="37"/>
      <c r="N687" s="37"/>
      <c r="O687" s="37"/>
      <c r="P687" s="38"/>
      <c r="Q687" s="68"/>
      <c r="R687" s="42"/>
      <c r="S687" s="37"/>
      <c r="T687" s="37"/>
      <c r="U687" s="37"/>
      <c r="V687" s="37"/>
      <c r="W687" s="45"/>
      <c r="X687" s="47"/>
      <c r="Y687" s="39"/>
      <c r="Z687" s="39"/>
      <c r="AA687" s="33"/>
      <c r="AB687" s="33"/>
      <c r="AC687" s="33"/>
      <c r="AD687" s="33"/>
      <c r="AE687" s="33"/>
    </row>
    <row r="688" spans="1:3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71"/>
      <c r="L688" s="61"/>
      <c r="M688" s="39"/>
      <c r="N688" s="39"/>
      <c r="O688" s="39"/>
      <c r="P688" s="40"/>
      <c r="Q688" s="67"/>
      <c r="R688" s="43"/>
      <c r="S688" s="39"/>
      <c r="T688" s="39"/>
      <c r="U688" s="39"/>
      <c r="V688" s="39"/>
      <c r="W688" s="45"/>
      <c r="X688" s="47"/>
      <c r="Y688" s="39"/>
      <c r="Z688" s="39"/>
      <c r="AA688" s="32"/>
      <c r="AB688" s="32"/>
      <c r="AC688" s="32"/>
      <c r="AD688" s="32"/>
      <c r="AE688" s="32"/>
    </row>
    <row r="689" spans="1:3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71"/>
      <c r="L689" s="61"/>
      <c r="M689" s="39"/>
      <c r="N689" s="39"/>
      <c r="O689" s="39"/>
      <c r="P689" s="40"/>
      <c r="Q689" s="67"/>
      <c r="R689" s="43"/>
      <c r="S689" s="39"/>
      <c r="T689" s="39"/>
      <c r="U689" s="39"/>
      <c r="V689" s="39"/>
      <c r="W689" s="45"/>
      <c r="X689" s="47"/>
      <c r="Y689" s="39"/>
      <c r="Z689" s="39"/>
      <c r="AA689" s="32"/>
      <c r="AB689" s="32"/>
      <c r="AC689" s="32"/>
      <c r="AD689" s="32"/>
      <c r="AE689" s="32"/>
    </row>
    <row r="690" spans="1:3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71"/>
      <c r="L690" s="61"/>
      <c r="M690" s="39"/>
      <c r="N690" s="39"/>
      <c r="O690" s="39"/>
      <c r="P690" s="40"/>
      <c r="Q690" s="67"/>
      <c r="R690" s="43"/>
      <c r="S690" s="39"/>
      <c r="T690" s="39"/>
      <c r="U690" s="39"/>
      <c r="V690" s="39"/>
      <c r="W690" s="45"/>
      <c r="X690" s="47"/>
      <c r="Y690" s="39"/>
      <c r="Z690" s="39"/>
      <c r="AA690" s="32"/>
      <c r="AB690" s="32"/>
      <c r="AC690" s="32"/>
      <c r="AD690" s="32"/>
      <c r="AE690" s="32"/>
    </row>
    <row r="691" spans="1:3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71"/>
      <c r="L691" s="61"/>
      <c r="M691" s="39"/>
      <c r="N691" s="39"/>
      <c r="O691" s="39"/>
      <c r="P691" s="40"/>
      <c r="Q691" s="67"/>
      <c r="R691" s="43"/>
      <c r="S691" s="39"/>
      <c r="T691" s="39"/>
      <c r="U691" s="39"/>
      <c r="V691" s="39"/>
      <c r="W691" s="45"/>
      <c r="X691" s="47"/>
      <c r="Y691" s="39"/>
      <c r="Z691" s="39"/>
      <c r="AA691" s="32"/>
      <c r="AB691" s="32"/>
      <c r="AC691" s="32"/>
      <c r="AD691" s="32"/>
      <c r="AE691" s="32"/>
    </row>
    <row r="692" spans="1:31">
      <c r="K692" s="73"/>
      <c r="M692" s="70"/>
      <c r="Q692" s="69"/>
    </row>
    <row r="693" spans="1:3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71"/>
      <c r="L693" s="61"/>
      <c r="M693" s="39"/>
      <c r="N693" s="39"/>
      <c r="O693" s="39"/>
      <c r="P693" s="40"/>
      <c r="Q693" s="67"/>
      <c r="R693" s="43"/>
      <c r="S693" s="39"/>
      <c r="T693" s="39"/>
      <c r="U693" s="39"/>
      <c r="V693" s="39"/>
      <c r="W693" s="45"/>
      <c r="X693" s="47"/>
      <c r="Y693" s="39"/>
      <c r="Z693" s="41"/>
      <c r="AA693" s="32"/>
      <c r="AB693" s="32"/>
      <c r="AC693" s="32"/>
      <c r="AD693" s="32"/>
      <c r="AE693" s="32"/>
    </row>
    <row r="694" spans="1:3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71"/>
      <c r="L694" s="61"/>
      <c r="M694" s="39"/>
      <c r="N694" s="39"/>
      <c r="O694" s="39"/>
      <c r="P694" s="40"/>
      <c r="Q694" s="67"/>
      <c r="R694" s="43"/>
      <c r="S694" s="39"/>
      <c r="T694" s="39"/>
      <c r="U694" s="39"/>
      <c r="V694" s="39"/>
      <c r="W694" s="45"/>
      <c r="X694" s="47"/>
      <c r="Y694" s="39"/>
      <c r="Z694" s="41"/>
      <c r="AA694" s="32"/>
      <c r="AB694" s="32"/>
      <c r="AC694" s="32"/>
      <c r="AD694" s="32"/>
      <c r="AE694" s="32"/>
    </row>
    <row r="695" spans="1:3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71"/>
      <c r="L695" s="61"/>
      <c r="M695" s="39"/>
      <c r="N695" s="39"/>
      <c r="O695" s="39"/>
      <c r="P695" s="40"/>
      <c r="Q695" s="67"/>
      <c r="R695" s="43"/>
      <c r="S695" s="39"/>
      <c r="T695" s="39"/>
      <c r="U695" s="39"/>
      <c r="V695" s="39"/>
      <c r="W695" s="45"/>
      <c r="X695" s="47"/>
      <c r="Y695" s="39"/>
      <c r="Z695" s="41"/>
      <c r="AA695" s="32"/>
      <c r="AB695" s="32"/>
      <c r="AC695" s="32"/>
      <c r="AD695" s="32"/>
      <c r="AE695" s="32"/>
    </row>
    <row r="696" spans="1:3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72"/>
      <c r="L696" s="60"/>
      <c r="M696" s="37"/>
      <c r="N696" s="37"/>
      <c r="O696" s="37"/>
      <c r="P696" s="38"/>
      <c r="Q696" s="68"/>
      <c r="R696" s="42"/>
      <c r="S696" s="37"/>
      <c r="T696" s="37"/>
      <c r="U696" s="37"/>
      <c r="V696" s="37"/>
      <c r="W696" s="45"/>
      <c r="X696" s="47"/>
      <c r="Y696" s="39"/>
      <c r="Z696" s="39"/>
      <c r="AA696" s="33"/>
      <c r="AB696" s="33"/>
      <c r="AC696" s="33"/>
      <c r="AD696" s="33"/>
      <c r="AE696" s="33"/>
    </row>
    <row r="697" spans="1:3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71"/>
      <c r="L697" s="61"/>
      <c r="M697" s="39"/>
      <c r="N697" s="39"/>
      <c r="O697" s="39"/>
      <c r="P697" s="40"/>
      <c r="Q697" s="67"/>
      <c r="R697" s="43"/>
      <c r="S697" s="39"/>
      <c r="T697" s="39"/>
      <c r="U697" s="39"/>
      <c r="V697" s="39"/>
      <c r="W697" s="45"/>
      <c r="X697" s="47"/>
      <c r="Y697" s="39"/>
      <c r="Z697" s="39"/>
      <c r="AA697" s="32"/>
      <c r="AB697" s="32"/>
      <c r="AC697" s="32"/>
      <c r="AD697" s="32"/>
      <c r="AE697" s="32"/>
    </row>
    <row r="698" spans="1:3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71"/>
      <c r="L698" s="61"/>
      <c r="M698" s="39"/>
      <c r="N698" s="39"/>
      <c r="O698" s="39"/>
      <c r="P698" s="40"/>
      <c r="Q698" s="67"/>
      <c r="R698" s="43"/>
      <c r="S698" s="39"/>
      <c r="T698" s="39"/>
      <c r="U698" s="39"/>
      <c r="V698" s="39"/>
      <c r="W698" s="45"/>
      <c r="X698" s="47"/>
      <c r="Y698" s="39"/>
      <c r="Z698" s="39"/>
      <c r="AA698" s="32"/>
      <c r="AB698" s="32"/>
      <c r="AC698" s="32"/>
      <c r="AD698" s="32"/>
      <c r="AE698" s="32"/>
    </row>
    <row r="699" spans="1:3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71"/>
      <c r="L699" s="61"/>
      <c r="M699" s="39"/>
      <c r="N699" s="39"/>
      <c r="O699" s="39"/>
      <c r="P699" s="40"/>
      <c r="Q699" s="67"/>
      <c r="R699" s="43"/>
      <c r="S699" s="39"/>
      <c r="T699" s="39"/>
      <c r="U699" s="39"/>
      <c r="V699" s="39"/>
      <c r="W699" s="45"/>
      <c r="X699" s="47"/>
      <c r="Y699" s="39"/>
      <c r="Z699" s="39"/>
      <c r="AA699" s="32"/>
      <c r="AB699" s="32"/>
      <c r="AC699" s="32"/>
      <c r="AD699" s="32"/>
      <c r="AE699" s="32"/>
    </row>
    <row r="700" spans="1:3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71"/>
      <c r="L700" s="61"/>
      <c r="M700" s="39"/>
      <c r="N700" s="39"/>
      <c r="O700" s="39"/>
      <c r="P700" s="40"/>
      <c r="Q700" s="67"/>
      <c r="R700" s="43"/>
      <c r="S700" s="39"/>
      <c r="T700" s="39"/>
      <c r="U700" s="39"/>
      <c r="V700" s="39"/>
      <c r="W700" s="45"/>
      <c r="X700" s="47"/>
      <c r="Y700" s="39"/>
      <c r="Z700" s="39"/>
      <c r="AA700" s="32"/>
      <c r="AB700" s="32"/>
      <c r="AC700" s="32"/>
      <c r="AD700" s="32"/>
      <c r="AE700" s="32"/>
    </row>
    <row r="701" spans="1:31">
      <c r="K701" s="73"/>
      <c r="M701" s="70"/>
      <c r="P701" s="70"/>
      <c r="Q701" s="69"/>
      <c r="Z701" s="70"/>
    </row>
    <row r="702" spans="1:3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71"/>
      <c r="L702" s="61"/>
      <c r="M702" s="39"/>
      <c r="N702" s="39"/>
      <c r="O702" s="39"/>
      <c r="P702" s="40"/>
      <c r="Q702" s="67"/>
      <c r="R702" s="43"/>
      <c r="S702" s="39"/>
      <c r="T702" s="39"/>
      <c r="U702" s="39"/>
      <c r="V702" s="39"/>
      <c r="W702" s="45"/>
      <c r="X702" s="47"/>
      <c r="Y702" s="39"/>
      <c r="Z702" s="41"/>
      <c r="AA702" s="32"/>
      <c r="AB702" s="32"/>
      <c r="AC702" s="32"/>
      <c r="AD702" s="32"/>
      <c r="AE702" s="32"/>
    </row>
    <row r="703" spans="1:3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71"/>
      <c r="L703" s="61"/>
      <c r="M703" s="39"/>
      <c r="N703" s="39"/>
      <c r="O703" s="39"/>
      <c r="P703" s="40"/>
      <c r="Q703" s="67"/>
      <c r="R703" s="43"/>
      <c r="S703" s="39"/>
      <c r="T703" s="39"/>
      <c r="U703" s="39"/>
      <c r="V703" s="39"/>
      <c r="W703" s="45"/>
      <c r="X703" s="47"/>
      <c r="Y703" s="39"/>
      <c r="Z703" s="41"/>
      <c r="AA703" s="32"/>
      <c r="AB703" s="32"/>
      <c r="AC703" s="32"/>
      <c r="AD703" s="32"/>
      <c r="AE703" s="32"/>
    </row>
    <row r="704" spans="1:3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71"/>
      <c r="L704" s="61"/>
      <c r="M704" s="39"/>
      <c r="N704" s="39"/>
      <c r="O704" s="39"/>
      <c r="P704" s="40"/>
      <c r="Q704" s="67"/>
      <c r="R704" s="43"/>
      <c r="S704" s="39"/>
      <c r="T704" s="39"/>
      <c r="U704" s="39"/>
      <c r="V704" s="39"/>
      <c r="W704" s="45"/>
      <c r="X704" s="47"/>
      <c r="Y704" s="39"/>
      <c r="Z704" s="41"/>
      <c r="AA704" s="32"/>
      <c r="AB704" s="32"/>
      <c r="AC704" s="32"/>
      <c r="AD704" s="32"/>
      <c r="AE704" s="32"/>
    </row>
    <row r="705" spans="1:3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72"/>
      <c r="L705" s="60"/>
      <c r="M705" s="37"/>
      <c r="N705" s="37"/>
      <c r="O705" s="37"/>
      <c r="P705" s="38"/>
      <c r="Q705" s="68"/>
      <c r="R705" s="42"/>
      <c r="S705" s="37"/>
      <c r="T705" s="37"/>
      <c r="U705" s="37"/>
      <c r="V705" s="37"/>
      <c r="W705" s="45"/>
      <c r="X705" s="47"/>
      <c r="Y705" s="39"/>
      <c r="Z705" s="39"/>
      <c r="AA705" s="33"/>
      <c r="AB705" s="33"/>
      <c r="AC705" s="33"/>
      <c r="AD705" s="33"/>
      <c r="AE705" s="33"/>
    </row>
    <row r="706" spans="1:3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71"/>
      <c r="L706" s="61"/>
      <c r="M706" s="39"/>
      <c r="N706" s="39"/>
      <c r="O706" s="39"/>
      <c r="P706" s="40"/>
      <c r="Q706" s="67"/>
      <c r="R706" s="43"/>
      <c r="S706" s="39"/>
      <c r="T706" s="39"/>
      <c r="U706" s="39"/>
      <c r="V706" s="39"/>
      <c r="W706" s="45"/>
      <c r="X706" s="47"/>
      <c r="Y706" s="39"/>
      <c r="Z706" s="39"/>
      <c r="AA706" s="32"/>
      <c r="AB706" s="32"/>
      <c r="AC706" s="32"/>
      <c r="AD706" s="32"/>
      <c r="AE706" s="32"/>
    </row>
    <row r="707" spans="1:3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71"/>
      <c r="L707" s="61"/>
      <c r="M707" s="39"/>
      <c r="N707" s="39"/>
      <c r="O707" s="39"/>
      <c r="P707" s="40"/>
      <c r="Q707" s="67"/>
      <c r="R707" s="43"/>
      <c r="S707" s="39"/>
      <c r="T707" s="39"/>
      <c r="U707" s="39"/>
      <c r="V707" s="39"/>
      <c r="W707" s="45"/>
      <c r="X707" s="47"/>
      <c r="Y707" s="39"/>
      <c r="Z707" s="39"/>
      <c r="AA707" s="32"/>
      <c r="AB707" s="32"/>
      <c r="AC707" s="32"/>
      <c r="AD707" s="32"/>
      <c r="AE707" s="32"/>
    </row>
    <row r="708" spans="1:3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71"/>
      <c r="L708" s="61"/>
      <c r="M708" s="39"/>
      <c r="N708" s="39"/>
      <c r="O708" s="39"/>
      <c r="P708" s="40"/>
      <c r="Q708" s="67"/>
      <c r="R708" s="43"/>
      <c r="S708" s="39"/>
      <c r="T708" s="39"/>
      <c r="U708" s="39"/>
      <c r="V708" s="39"/>
      <c r="W708" s="45"/>
      <c r="X708" s="47"/>
      <c r="Y708" s="39"/>
      <c r="Z708" s="39"/>
      <c r="AA708" s="32"/>
      <c r="AB708" s="32"/>
      <c r="AC708" s="32"/>
      <c r="AD708" s="32"/>
      <c r="AE708" s="32"/>
    </row>
    <row r="709" spans="1:3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71"/>
      <c r="L709" s="61"/>
      <c r="M709" s="39"/>
      <c r="N709" s="39"/>
      <c r="O709" s="39"/>
      <c r="P709" s="40"/>
      <c r="Q709" s="67"/>
      <c r="R709" s="43"/>
      <c r="S709" s="39"/>
      <c r="T709" s="39"/>
      <c r="U709" s="39"/>
      <c r="V709" s="39"/>
      <c r="W709" s="45"/>
      <c r="X709" s="47"/>
      <c r="Y709" s="39"/>
      <c r="Z709" s="39"/>
      <c r="AA709" s="32"/>
      <c r="AB709" s="32"/>
      <c r="AC709" s="32"/>
      <c r="AD709" s="32"/>
      <c r="AE709" s="32"/>
    </row>
    <row r="710" spans="1:31">
      <c r="K710" s="73"/>
      <c r="M710" s="70"/>
      <c r="Q710" s="69"/>
    </row>
    <row r="711" spans="1:3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71"/>
      <c r="L711" s="61"/>
      <c r="M711" s="39"/>
      <c r="N711" s="39"/>
      <c r="O711" s="39"/>
      <c r="P711" s="40"/>
      <c r="Q711" s="67"/>
      <c r="R711" s="43"/>
      <c r="S711" s="39"/>
      <c r="T711" s="39"/>
      <c r="U711" s="39"/>
      <c r="V711" s="39"/>
      <c r="W711" s="45"/>
      <c r="X711" s="47"/>
      <c r="Y711" s="39"/>
      <c r="Z711" s="41"/>
      <c r="AA711" s="32"/>
      <c r="AB711" s="32"/>
      <c r="AC711" s="32"/>
      <c r="AD711" s="32"/>
      <c r="AE711" s="32"/>
    </row>
    <row r="712" spans="1:3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71"/>
      <c r="L712" s="61"/>
      <c r="M712" s="39"/>
      <c r="N712" s="39"/>
      <c r="O712" s="39"/>
      <c r="P712" s="40"/>
      <c r="Q712" s="67"/>
      <c r="R712" s="43"/>
      <c r="S712" s="39"/>
      <c r="T712" s="39"/>
      <c r="U712" s="39"/>
      <c r="V712" s="39"/>
      <c r="W712" s="45"/>
      <c r="X712" s="47"/>
      <c r="Y712" s="39"/>
      <c r="Z712" s="41"/>
      <c r="AA712" s="32"/>
      <c r="AB712" s="32"/>
      <c r="AC712" s="32"/>
      <c r="AD712" s="32"/>
      <c r="AE712" s="32"/>
    </row>
    <row r="713" spans="1:3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71"/>
      <c r="L713" s="61"/>
      <c r="M713" s="39"/>
      <c r="N713" s="39"/>
      <c r="O713" s="39"/>
      <c r="P713" s="40"/>
      <c r="Q713" s="67"/>
      <c r="R713" s="43"/>
      <c r="S713" s="39"/>
      <c r="T713" s="39"/>
      <c r="U713" s="39"/>
      <c r="V713" s="39"/>
      <c r="W713" s="45"/>
      <c r="X713" s="47"/>
      <c r="Y713" s="39"/>
      <c r="Z713" s="41"/>
      <c r="AA713" s="32"/>
      <c r="AB713" s="32"/>
      <c r="AC713" s="32"/>
      <c r="AD713" s="32"/>
      <c r="AE713" s="32"/>
    </row>
    <row r="714" spans="1:3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72"/>
      <c r="L714" s="60"/>
      <c r="M714" s="37"/>
      <c r="N714" s="37"/>
      <c r="O714" s="37"/>
      <c r="P714" s="38"/>
      <c r="Q714" s="68"/>
      <c r="R714" s="42"/>
      <c r="S714" s="37"/>
      <c r="T714" s="37"/>
      <c r="U714" s="37"/>
      <c r="V714" s="37"/>
      <c r="W714" s="45"/>
      <c r="X714" s="47"/>
      <c r="Y714" s="39"/>
      <c r="Z714" s="39"/>
      <c r="AA714" s="33"/>
      <c r="AB714" s="33"/>
      <c r="AC714" s="33"/>
      <c r="AD714" s="33"/>
      <c r="AE714" s="33"/>
    </row>
    <row r="715" spans="1:3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71"/>
      <c r="L715" s="61"/>
      <c r="M715" s="39"/>
      <c r="N715" s="39"/>
      <c r="O715" s="39"/>
      <c r="P715" s="40"/>
      <c r="Q715" s="67"/>
      <c r="R715" s="43"/>
      <c r="S715" s="39"/>
      <c r="T715" s="39"/>
      <c r="U715" s="39"/>
      <c r="V715" s="39"/>
      <c r="W715" s="45"/>
      <c r="X715" s="47"/>
      <c r="Y715" s="39"/>
      <c r="Z715" s="39"/>
      <c r="AA715" s="32"/>
      <c r="AB715" s="32"/>
      <c r="AC715" s="32"/>
      <c r="AD715" s="32"/>
      <c r="AE715" s="32"/>
    </row>
    <row r="720" spans="1:31" ht="15" customHeight="1">
      <c r="O720" s="70"/>
      <c r="R720" s="70"/>
      <c r="V720" s="70"/>
    </row>
    <row r="722" spans="16:26" ht="15" customHeight="1">
      <c r="P722" s="70"/>
    </row>
    <row r="724" spans="16:26" ht="15" customHeight="1">
      <c r="P724" s="70"/>
      <c r="Z724" s="70"/>
    </row>
    <row r="730" spans="16:26" ht="15" customHeight="1">
      <c r="P730" s="70"/>
    </row>
    <row r="732" spans="16:26" ht="15" customHeight="1">
      <c r="P732" s="70"/>
    </row>
    <row r="735" spans="16:26" ht="15" customHeight="1">
      <c r="P735" s="70"/>
    </row>
    <row r="736" spans="16:26" ht="15" customHeight="1">
      <c r="P736" s="70"/>
      <c r="Z736" s="70"/>
    </row>
    <row r="737" spans="11:26" ht="15" customHeight="1">
      <c r="K737" s="75"/>
      <c r="Y737" s="70"/>
      <c r="Z737" s="70"/>
    </row>
    <row r="738" spans="11:26" ht="15" customHeight="1">
      <c r="K738" s="75"/>
      <c r="P738" s="70"/>
      <c r="Z738" s="70"/>
    </row>
    <row r="739" spans="11:26" ht="15" customHeight="1">
      <c r="K739" s="75"/>
      <c r="P739" s="70"/>
      <c r="Y739" s="70"/>
      <c r="Z739" s="70"/>
    </row>
    <row r="740" spans="11:26" ht="15" customHeight="1">
      <c r="K740" s="75"/>
      <c r="P740" s="70"/>
      <c r="Y740" s="70"/>
      <c r="Z740" s="70"/>
    </row>
    <row r="741" spans="11:26" ht="15" customHeight="1">
      <c r="K741" s="75"/>
      <c r="R741" s="70"/>
      <c r="S741" s="70"/>
      <c r="Y741" s="70"/>
      <c r="Z741" s="70"/>
    </row>
    <row r="742" spans="11:26" ht="15" customHeight="1">
      <c r="X742" s="70"/>
      <c r="Y742" s="70"/>
      <c r="Z742" s="70"/>
    </row>
    <row r="743" spans="11:26" ht="15" customHeight="1">
      <c r="Y743" s="70"/>
      <c r="Z743" s="70"/>
    </row>
    <row r="744" spans="11:26" ht="15" customHeight="1">
      <c r="O744" s="70"/>
    </row>
    <row r="745" spans="11:26" ht="15" customHeight="1">
      <c r="P745" s="70"/>
    </row>
    <row r="748" spans="11:26" ht="15" customHeight="1">
      <c r="P748" s="70"/>
      <c r="Y748" s="70"/>
      <c r="Z748" s="70"/>
    </row>
    <row r="750" spans="11:26" ht="15" customHeight="1">
      <c r="R750" s="70"/>
      <c r="S750" s="70"/>
      <c r="W750" s="74"/>
      <c r="Z750" s="70"/>
    </row>
    <row r="751" spans="11:26" ht="15" customHeight="1">
      <c r="P751" s="70"/>
      <c r="R751" s="70"/>
      <c r="U751" s="70"/>
      <c r="Y751" s="70"/>
      <c r="Z751" s="70"/>
    </row>
    <row r="752" spans="11:26" ht="15" customHeight="1">
      <c r="R752" s="70"/>
      <c r="T752" s="70"/>
      <c r="X752" s="70"/>
      <c r="Y752" s="70"/>
      <c r="Z752" s="70"/>
    </row>
    <row r="753" spans="11:26" ht="15" customHeight="1">
      <c r="N753" s="70"/>
      <c r="P753" s="70"/>
      <c r="R753" s="70"/>
      <c r="T753" s="70"/>
      <c r="V753" s="70"/>
      <c r="X753" s="70"/>
      <c r="Y753" s="70"/>
      <c r="Z753" s="70"/>
    </row>
    <row r="754" spans="11:26" ht="15" customHeight="1">
      <c r="O754" s="70"/>
    </row>
    <row r="755" spans="11:26" ht="15" customHeight="1">
      <c r="P755" s="70"/>
      <c r="R755" s="70"/>
      <c r="T755" s="70"/>
      <c r="U755" s="70"/>
      <c r="V755" s="70"/>
      <c r="Y755" s="70"/>
      <c r="Z755" s="70"/>
    </row>
    <row r="756" spans="11:26" ht="15" customHeight="1">
      <c r="P756" s="70"/>
      <c r="Z756" s="70"/>
    </row>
    <row r="758" spans="11:26" ht="15" customHeight="1">
      <c r="P758" s="70"/>
      <c r="X758" s="70"/>
      <c r="Y758" s="70"/>
      <c r="Z758" s="70"/>
    </row>
    <row r="759" spans="11:26" ht="15" customHeight="1">
      <c r="Y759" s="70"/>
      <c r="Z759" s="70"/>
    </row>
    <row r="760" spans="11:26" ht="15" customHeight="1">
      <c r="P760" s="70"/>
      <c r="R760" s="70"/>
      <c r="V760" s="70"/>
      <c r="Z760" s="70"/>
    </row>
    <row r="761" spans="11:26" ht="15" customHeight="1">
      <c r="P761" s="70"/>
      <c r="Y761" s="70"/>
      <c r="Z761" s="70"/>
    </row>
    <row r="762" spans="11:26" ht="15" customHeight="1">
      <c r="K762" s="75"/>
      <c r="R762" s="70"/>
      <c r="T762" s="70"/>
      <c r="V762" s="70"/>
      <c r="Z762" s="70"/>
    </row>
    <row r="763" spans="11:26" ht="15" customHeight="1">
      <c r="K763" s="75"/>
      <c r="N763" s="70"/>
      <c r="R763" s="70"/>
      <c r="S763" s="70"/>
      <c r="U763" s="70"/>
      <c r="X763" s="70"/>
      <c r="Y763" s="70"/>
      <c r="Z763" s="70"/>
    </row>
    <row r="764" spans="11:26" ht="15" customHeight="1">
      <c r="Y764" s="70"/>
      <c r="Z764" s="70"/>
    </row>
    <row r="766" spans="11:26" ht="15" customHeight="1">
      <c r="P766" s="70"/>
      <c r="R766" s="70"/>
      <c r="T766" s="70"/>
      <c r="V766" s="70"/>
      <c r="W766" s="74"/>
      <c r="X766" s="70"/>
      <c r="Y766" s="70"/>
      <c r="Z766" s="70"/>
    </row>
    <row r="767" spans="11:26" ht="15" customHeight="1">
      <c r="O767" s="70"/>
      <c r="R767" s="70"/>
      <c r="T767" s="70"/>
      <c r="V767" s="70"/>
      <c r="X767" s="70"/>
      <c r="Y767" s="70"/>
      <c r="Z767" s="70"/>
    </row>
    <row r="768" spans="11:26" ht="15" customHeight="1">
      <c r="O768" s="70"/>
      <c r="R768" s="70"/>
      <c r="T768" s="70"/>
      <c r="X768" s="70"/>
      <c r="Y768" s="70"/>
      <c r="Z768" s="70"/>
    </row>
    <row r="770" spans="15:26" ht="15" customHeight="1">
      <c r="R770" s="70"/>
      <c r="T770" s="70"/>
      <c r="X770" s="70"/>
      <c r="Y770" s="70"/>
      <c r="Z770" s="70"/>
    </row>
    <row r="771" spans="15:26" ht="15" customHeight="1">
      <c r="P771" s="70"/>
    </row>
    <row r="773" spans="15:26" ht="15" customHeight="1">
      <c r="P773" s="70"/>
      <c r="X773" s="70"/>
      <c r="Y773" s="70"/>
      <c r="Z773" s="70"/>
    </row>
    <row r="776" spans="15:26" ht="15" customHeight="1">
      <c r="P776" s="70"/>
      <c r="X776" s="70"/>
      <c r="Y776" s="70"/>
      <c r="Z776" s="70"/>
    </row>
    <row r="778" spans="15:26" ht="15" customHeight="1">
      <c r="P778" s="70"/>
      <c r="Y778" s="70"/>
      <c r="Z778" s="70"/>
    </row>
    <row r="779" spans="15:26" ht="15" customHeight="1">
      <c r="O779" s="70"/>
      <c r="R779" s="70"/>
      <c r="T779" s="70"/>
      <c r="X779" s="70"/>
      <c r="Y779" s="70"/>
      <c r="Z779" s="70"/>
    </row>
    <row r="781" spans="15:26" ht="15" customHeight="1">
      <c r="Y781" s="70"/>
      <c r="Z781" s="70"/>
    </row>
    <row r="787" spans="11:26" ht="15" customHeight="1">
      <c r="K787" s="75"/>
      <c r="P787" s="70"/>
      <c r="Y787" s="70"/>
      <c r="Z787" s="70"/>
    </row>
    <row r="788" spans="11:26" ht="15" customHeight="1">
      <c r="P788" s="70"/>
    </row>
    <row r="790" spans="11:26" ht="15" customHeight="1">
      <c r="K790" s="75"/>
      <c r="R790" s="70"/>
      <c r="T790" s="70"/>
      <c r="Z790" s="70"/>
    </row>
    <row r="791" spans="11:26" ht="15" customHeight="1">
      <c r="K791" s="75"/>
      <c r="P791" s="70"/>
      <c r="Y791" s="70"/>
      <c r="Z791" s="70"/>
    </row>
    <row r="793" spans="11:26" ht="15" customHeight="1">
      <c r="K793" s="75"/>
      <c r="P793" s="70"/>
      <c r="Y793" s="70"/>
      <c r="Z793" s="70"/>
    </row>
    <row r="794" spans="11:26" ht="15" customHeight="1">
      <c r="K794" s="75"/>
      <c r="P794" s="70"/>
      <c r="Z794" s="70"/>
    </row>
    <row r="795" spans="11:26" ht="15" customHeight="1">
      <c r="K795" s="75"/>
      <c r="P795" s="70"/>
      <c r="R795" s="70"/>
      <c r="S795" s="70"/>
      <c r="V795" s="70"/>
      <c r="X795" s="70"/>
      <c r="Y795" s="70"/>
      <c r="Z795" s="70"/>
    </row>
    <row r="796" spans="11:26" ht="15" customHeight="1">
      <c r="K796" s="75"/>
      <c r="P796" s="70"/>
      <c r="R796" s="70"/>
      <c r="V796" s="70"/>
      <c r="W796" s="74"/>
      <c r="X796" s="70"/>
      <c r="Y796" s="70"/>
      <c r="Z796" s="70"/>
    </row>
    <row r="797" spans="11:26" ht="15" customHeight="1">
      <c r="K797" s="75"/>
      <c r="P797" s="70"/>
      <c r="R797" s="70"/>
      <c r="T797" s="70"/>
      <c r="X797" s="70"/>
      <c r="Y797" s="70"/>
      <c r="Z797" s="70"/>
    </row>
    <row r="798" spans="11:26" ht="15" customHeight="1">
      <c r="K798" s="75"/>
      <c r="P798" s="70"/>
      <c r="Y798" s="70"/>
      <c r="Z798" s="70"/>
    </row>
    <row r="799" spans="11:26" ht="15" customHeight="1">
      <c r="K799" s="75"/>
    </row>
    <row r="800" spans="11:26" ht="15" customHeight="1">
      <c r="K800" s="75"/>
      <c r="P800" s="70"/>
    </row>
    <row r="801" spans="11:26" ht="15" customHeight="1">
      <c r="K801" s="75"/>
      <c r="R801" s="70"/>
      <c r="S801" s="70"/>
      <c r="X801" s="70"/>
      <c r="Y801" s="70"/>
      <c r="Z801" s="70"/>
    </row>
    <row r="802" spans="11:26" ht="15" customHeight="1">
      <c r="K802" s="75"/>
      <c r="Y802" s="70"/>
      <c r="Z802" s="70"/>
    </row>
    <row r="803" spans="11:26" ht="15" customHeight="1">
      <c r="K803" s="75"/>
      <c r="Y803" s="70"/>
      <c r="Z803" s="70"/>
    </row>
    <row r="804" spans="11:26" ht="15" customHeight="1">
      <c r="P804" s="70"/>
    </row>
    <row r="805" spans="11:26" ht="15" customHeight="1">
      <c r="P805" s="70"/>
    </row>
    <row r="806" spans="11:26" ht="15" customHeight="1">
      <c r="R806" s="70"/>
      <c r="U806" s="70"/>
    </row>
    <row r="807" spans="11:26" ht="15" customHeight="1">
      <c r="P807" s="70"/>
      <c r="X807" s="70"/>
      <c r="Y807" s="70"/>
      <c r="Z807" s="70"/>
    </row>
    <row r="808" spans="11:26" ht="15" customHeight="1">
      <c r="P808" s="70"/>
    </row>
    <row r="809" spans="11:26" ht="15" customHeight="1">
      <c r="P809" s="70"/>
      <c r="R809" s="70"/>
      <c r="V809" s="70"/>
      <c r="X809" s="70"/>
      <c r="Y809" s="70"/>
      <c r="Z809" s="70"/>
    </row>
    <row r="810" spans="11:26" ht="15" customHeight="1">
      <c r="N810" s="70"/>
      <c r="W810" s="74"/>
      <c r="Y810" s="70"/>
      <c r="Z810" s="70"/>
    </row>
    <row r="811" spans="11:26" ht="15" customHeight="1">
      <c r="R811" s="70"/>
      <c r="U811" s="70"/>
    </row>
    <row r="812" spans="11:26" ht="15" customHeight="1">
      <c r="P812" s="70"/>
      <c r="X812" s="70"/>
      <c r="Y812" s="70"/>
      <c r="Z812" s="70"/>
    </row>
    <row r="813" spans="11:26" ht="15" customHeight="1">
      <c r="P813" s="70"/>
    </row>
    <row r="814" spans="11:26" ht="15" customHeight="1">
      <c r="P814" s="70"/>
      <c r="Y814" s="70"/>
      <c r="Z814" s="70"/>
    </row>
    <row r="815" spans="11:26" ht="15" customHeight="1">
      <c r="N815" s="70"/>
      <c r="W815" s="74"/>
      <c r="Y815" s="70"/>
      <c r="Z815" s="70"/>
    </row>
    <row r="817" spans="16:26" ht="15" customHeight="1">
      <c r="R817" s="70"/>
      <c r="U817" s="70"/>
    </row>
    <row r="818" spans="16:26" ht="15" customHeight="1">
      <c r="P818" s="70"/>
    </row>
    <row r="819" spans="16:26" ht="15" customHeight="1">
      <c r="P819" s="70"/>
    </row>
    <row r="821" spans="16:26" ht="15" customHeight="1">
      <c r="R821" s="70"/>
      <c r="U821" s="70"/>
    </row>
    <row r="822" spans="16:26" ht="15" customHeight="1">
      <c r="P822" s="70"/>
    </row>
    <row r="823" spans="16:26" ht="15" customHeight="1">
      <c r="P823" s="70"/>
    </row>
    <row r="828" spans="16:26" ht="15" customHeight="1">
      <c r="X828" s="70"/>
      <c r="Y828" s="70"/>
      <c r="Z828" s="70"/>
    </row>
    <row r="829" spans="16:26" ht="15" customHeight="1">
      <c r="P829" s="70"/>
      <c r="X829" s="70"/>
      <c r="Y829" s="70"/>
      <c r="Z829" s="70"/>
    </row>
    <row r="830" spans="16:26" ht="15" customHeight="1">
      <c r="P830" s="70"/>
      <c r="X830" s="70"/>
      <c r="Y830" s="70"/>
      <c r="Z830" s="70"/>
    </row>
    <row r="831" spans="16:26" ht="15" customHeight="1">
      <c r="X831" s="70"/>
      <c r="Y831" s="70"/>
      <c r="Z831" s="70"/>
    </row>
    <row r="832" spans="16:26" ht="15" customHeight="1">
      <c r="P832" s="70"/>
    </row>
    <row r="833" spans="11:26" ht="15" customHeight="1">
      <c r="P833" s="70"/>
      <c r="X833" s="70"/>
      <c r="Y833" s="70"/>
      <c r="Z833" s="70"/>
    </row>
    <row r="834" spans="11:26" ht="15" customHeight="1">
      <c r="P834" s="70"/>
      <c r="X834" s="70"/>
      <c r="Y834" s="70"/>
      <c r="Z834" s="70"/>
    </row>
    <row r="835" spans="11:26" ht="15" customHeight="1">
      <c r="P835" s="70"/>
      <c r="X835" s="70"/>
      <c r="Y835" s="70"/>
      <c r="Z835" s="70"/>
    </row>
    <row r="836" spans="11:26" ht="15" customHeight="1">
      <c r="P836" s="70"/>
      <c r="X836" s="70"/>
      <c r="Y836" s="70"/>
      <c r="Z836" s="70"/>
    </row>
    <row r="837" spans="11:26" ht="15" customHeight="1">
      <c r="X837" s="70"/>
      <c r="Y837" s="70"/>
      <c r="Z837" s="70"/>
    </row>
    <row r="838" spans="11:26" ht="15" customHeight="1">
      <c r="P838" s="70"/>
      <c r="X838" s="70"/>
      <c r="Y838" s="70"/>
      <c r="Z838" s="70"/>
    </row>
    <row r="839" spans="11:26" ht="15" customHeight="1">
      <c r="P839" s="70"/>
      <c r="Y839" s="70"/>
      <c r="Z839" s="70"/>
    </row>
    <row r="840" spans="11:26" ht="15" customHeight="1">
      <c r="P840" s="70"/>
      <c r="R840" s="70"/>
      <c r="S840" s="70"/>
      <c r="X840" s="70"/>
      <c r="Y840" s="70"/>
      <c r="Z840" s="70"/>
    </row>
    <row r="841" spans="11:26" ht="15" customHeight="1">
      <c r="K841" s="75"/>
      <c r="R841" s="70"/>
      <c r="T841" s="70"/>
      <c r="W841" s="74"/>
      <c r="X841" s="70"/>
      <c r="Y841" s="70"/>
      <c r="Z841" s="70"/>
    </row>
    <row r="845" spans="11:26" ht="15" customHeight="1">
      <c r="Y845" s="70"/>
      <c r="Z845" s="70"/>
    </row>
    <row r="867" spans="11:26" ht="15" customHeight="1">
      <c r="Z867" s="70"/>
    </row>
    <row r="869" spans="11:26" ht="15" customHeight="1">
      <c r="P869" s="70"/>
    </row>
    <row r="870" spans="11:26" ht="15" customHeight="1">
      <c r="O870" s="70"/>
      <c r="R870" s="70"/>
      <c r="S870" s="70"/>
      <c r="U870" s="70"/>
      <c r="Z870" s="70"/>
    </row>
    <row r="871" spans="11:26" ht="15" customHeight="1">
      <c r="O871" s="70"/>
      <c r="R871" s="70"/>
      <c r="S871" s="70"/>
      <c r="V871" s="70"/>
      <c r="X871" s="70"/>
      <c r="Y871" s="70"/>
      <c r="Z871" s="70"/>
    </row>
    <row r="872" spans="11:26" ht="15" customHeight="1">
      <c r="N872" s="70"/>
      <c r="P872" s="70"/>
      <c r="R872" s="70"/>
      <c r="V872" s="70"/>
      <c r="X872" s="70"/>
      <c r="Y872" s="70"/>
      <c r="Z872" s="70"/>
    </row>
    <row r="873" spans="11:26" ht="15" customHeight="1">
      <c r="O873" s="70"/>
      <c r="R873" s="70"/>
      <c r="S873" s="70"/>
      <c r="V873" s="70"/>
      <c r="X873" s="70"/>
      <c r="Y873" s="70"/>
      <c r="Z873" s="70"/>
    </row>
    <row r="875" spans="11:26" ht="15" customHeight="1">
      <c r="Y875" s="70"/>
      <c r="Z875" s="70"/>
    </row>
    <row r="876" spans="11:26" ht="15" customHeight="1">
      <c r="Y876" s="70"/>
      <c r="Z876" s="70"/>
    </row>
    <row r="879" spans="11:26" ht="15" customHeight="1">
      <c r="N879" s="70"/>
      <c r="X879" s="70"/>
      <c r="Y879" s="70"/>
      <c r="Z879" s="70"/>
    </row>
    <row r="880" spans="11:26" ht="15" customHeight="1">
      <c r="K880" s="75"/>
      <c r="R880" s="70"/>
      <c r="U880" s="70"/>
      <c r="V880" s="70"/>
      <c r="X880" s="70"/>
      <c r="Y880" s="70"/>
      <c r="Z880" s="70"/>
    </row>
    <row r="881" spans="11:26" ht="15" customHeight="1">
      <c r="K881" s="75"/>
      <c r="R881" s="70"/>
      <c r="S881" s="70"/>
      <c r="Z881" s="70"/>
    </row>
    <row r="882" spans="11:26" ht="15" customHeight="1">
      <c r="K882" s="75"/>
      <c r="N882" s="70"/>
      <c r="R882" s="70"/>
      <c r="S882" s="70"/>
      <c r="Z882" s="70"/>
    </row>
    <row r="883" spans="11:26" ht="15" customHeight="1">
      <c r="K883" s="75"/>
      <c r="N883" s="70"/>
      <c r="X883" s="70"/>
      <c r="Y883" s="70"/>
      <c r="Z883" s="70"/>
    </row>
    <row r="884" spans="11:26" ht="15" customHeight="1">
      <c r="P884" s="70"/>
    </row>
    <row r="885" spans="11:26" ht="15" customHeight="1">
      <c r="K885" s="75"/>
      <c r="P885" s="70"/>
      <c r="X885" s="70"/>
      <c r="Y885" s="70"/>
      <c r="Z885" s="70"/>
    </row>
    <row r="887" spans="11:26" ht="15" customHeight="1">
      <c r="Z887" s="70"/>
    </row>
    <row r="888" spans="11:26" ht="15" customHeight="1">
      <c r="P888" s="70"/>
      <c r="R888" s="70"/>
      <c r="V888" s="70"/>
      <c r="W888" s="74"/>
      <c r="Y888" s="70"/>
      <c r="Z888" s="70"/>
    </row>
    <row r="889" spans="11:26" ht="15" customHeight="1">
      <c r="P889" s="70"/>
    </row>
    <row r="890" spans="11:26" ht="15" customHeight="1">
      <c r="K890" s="75"/>
      <c r="W890" s="74"/>
    </row>
    <row r="891" spans="11:26" ht="15" customHeight="1">
      <c r="K891" s="75"/>
      <c r="P891" s="70"/>
      <c r="R891" s="70"/>
      <c r="V891" s="70"/>
      <c r="W891" s="74"/>
      <c r="X891" s="70"/>
      <c r="Y891" s="70"/>
      <c r="Z891" s="70"/>
    </row>
    <row r="893" spans="11:26" ht="15" customHeight="1">
      <c r="O893" s="70"/>
      <c r="R893" s="70"/>
      <c r="V893" s="70"/>
    </row>
    <row r="894" spans="11:26" ht="15" customHeight="1">
      <c r="K894" s="75"/>
      <c r="P894" s="70"/>
      <c r="W894" s="74"/>
      <c r="X894" s="70"/>
      <c r="Y894" s="70"/>
      <c r="Z894" s="70"/>
    </row>
    <row r="895" spans="11:26" ht="15" customHeight="1">
      <c r="O895" s="70"/>
      <c r="R895" s="70"/>
      <c r="V895" s="70"/>
    </row>
    <row r="896" spans="11:26" ht="15" customHeight="1">
      <c r="K896" s="75"/>
      <c r="P896" s="70"/>
      <c r="R896" s="70"/>
      <c r="U896" s="70"/>
      <c r="X896" s="70"/>
      <c r="Y896" s="70"/>
      <c r="Z896" s="70"/>
    </row>
    <row r="897" spans="11:26" ht="15" customHeight="1">
      <c r="K897" s="75"/>
      <c r="P897" s="70"/>
      <c r="Y897" s="70"/>
      <c r="Z897" s="70"/>
    </row>
    <row r="898" spans="11:26" ht="15" customHeight="1">
      <c r="O898" s="70"/>
    </row>
    <row r="900" spans="11:26" ht="15" customHeight="1">
      <c r="K900" s="75"/>
      <c r="N900" s="70"/>
      <c r="P900" s="70"/>
      <c r="R900" s="70"/>
      <c r="U900" s="70"/>
      <c r="W900" s="74"/>
      <c r="X900" s="70"/>
      <c r="Y900" s="70"/>
      <c r="Z900" s="70"/>
    </row>
    <row r="901" spans="11:26" ht="15" customHeight="1">
      <c r="N901" s="70"/>
    </row>
    <row r="902" spans="11:26" ht="15" customHeight="1">
      <c r="P902" s="70"/>
      <c r="Y902" s="70"/>
      <c r="Z902" s="70"/>
    </row>
    <row r="907" spans="11:26" ht="15" customHeight="1">
      <c r="P907" s="70"/>
    </row>
    <row r="930" spans="14:26" ht="15" customHeight="1">
      <c r="Z930" s="70"/>
    </row>
    <row r="931" spans="14:26" ht="15" customHeight="1">
      <c r="Z931" s="70"/>
    </row>
    <row r="932" spans="14:26" ht="15" customHeight="1">
      <c r="N932" s="70"/>
      <c r="P932" s="70"/>
      <c r="X932" s="70"/>
      <c r="Y932" s="70"/>
      <c r="Z932" s="70"/>
    </row>
    <row r="933" spans="14:26" ht="15" customHeight="1">
      <c r="Y933" s="70"/>
      <c r="Z933" s="70"/>
    </row>
    <row r="936" spans="14:26" ht="15" customHeight="1">
      <c r="P936" s="70"/>
      <c r="R936" s="70"/>
      <c r="S936" s="70"/>
      <c r="Y936" s="70"/>
      <c r="Z936" s="70"/>
    </row>
    <row r="939" spans="14:26" ht="15" customHeight="1">
      <c r="Z939" s="70"/>
    </row>
    <row r="947" spans="16:26" ht="15" customHeight="1">
      <c r="R947" s="70"/>
      <c r="S947" s="70"/>
      <c r="Y947" s="70"/>
      <c r="Z947" s="70"/>
    </row>
    <row r="949" spans="16:26" ht="15" customHeight="1">
      <c r="R949" s="70"/>
      <c r="S949" s="70"/>
      <c r="X949" s="70"/>
      <c r="Y949" s="70"/>
      <c r="Z949" s="70"/>
    </row>
    <row r="953" spans="16:26" ht="15" customHeight="1">
      <c r="R953" s="70"/>
      <c r="S953" s="70"/>
    </row>
    <row r="956" spans="16:26" ht="15" customHeight="1">
      <c r="R956" s="70"/>
      <c r="S956" s="70"/>
      <c r="X956" s="70"/>
      <c r="Y956" s="70"/>
      <c r="Z956" s="70"/>
    </row>
    <row r="957" spans="16:26" ht="15" customHeight="1">
      <c r="P957" s="70"/>
      <c r="R957" s="70"/>
      <c r="S957" s="70"/>
      <c r="X957" s="70"/>
      <c r="Y957" s="70"/>
      <c r="Z957" s="70"/>
    </row>
    <row r="959" spans="16:26" ht="15" customHeight="1">
      <c r="P959" s="70"/>
    </row>
    <row r="960" spans="16:26" ht="15" customHeight="1">
      <c r="P960" s="70"/>
      <c r="X960" s="70"/>
      <c r="Y960" s="70"/>
      <c r="Z960" s="70"/>
    </row>
    <row r="963" spans="16:26" ht="15" customHeight="1">
      <c r="R963" s="70"/>
      <c r="U963" s="70"/>
      <c r="X963" s="70"/>
      <c r="Y963" s="70"/>
      <c r="Z963" s="70"/>
    </row>
    <row r="966" spans="16:26" ht="15" customHeight="1">
      <c r="P966" s="70"/>
    </row>
    <row r="969" spans="16:26" ht="15" customHeight="1">
      <c r="P969" s="70"/>
      <c r="X969" s="70"/>
      <c r="Y969" s="70"/>
      <c r="Z969" s="70"/>
    </row>
    <row r="970" spans="16:26" ht="15" customHeight="1">
      <c r="P970" s="70"/>
      <c r="Y970" s="70"/>
      <c r="Z970" s="70"/>
    </row>
    <row r="973" spans="16:26" ht="15" customHeight="1">
      <c r="Z973" s="70"/>
    </row>
    <row r="993" spans="15:26" ht="15" customHeight="1">
      <c r="P993" s="70"/>
    </row>
    <row r="994" spans="15:26" ht="15" customHeight="1">
      <c r="P994" s="70"/>
      <c r="Z994" s="70"/>
    </row>
    <row r="996" spans="15:26" ht="15" customHeight="1">
      <c r="X996" s="70"/>
      <c r="Y996" s="70"/>
      <c r="Z996" s="70"/>
    </row>
    <row r="997" spans="15:26" ht="15" customHeight="1">
      <c r="X997" s="70"/>
      <c r="Y997" s="70"/>
      <c r="Z997" s="70"/>
    </row>
    <row r="998" spans="15:26" ht="15" customHeight="1">
      <c r="O998" s="70"/>
      <c r="R998" s="70"/>
      <c r="V998" s="70"/>
    </row>
    <row r="1003" spans="15:26" ht="15" customHeight="1">
      <c r="R1003" s="70"/>
      <c r="T1003" s="70"/>
      <c r="Y1003" s="70"/>
      <c r="Z1003" s="70"/>
    </row>
    <row r="1005" spans="15:26" ht="15" customHeight="1">
      <c r="P1005" s="70"/>
    </row>
    <row r="1006" spans="15:26" ht="15" customHeight="1">
      <c r="P1006" s="70"/>
    </row>
    <row r="1008" spans="15:26" ht="15" customHeight="1">
      <c r="P1008" s="70"/>
      <c r="X1008" s="70"/>
      <c r="Y1008" s="70"/>
      <c r="Z1008" s="70"/>
    </row>
    <row r="1009" spans="11:26" ht="15" customHeight="1">
      <c r="K1009" s="75"/>
    </row>
    <row r="1010" spans="11:26" ht="15" customHeight="1">
      <c r="Z1010" s="70"/>
    </row>
    <row r="1011" spans="11:26" ht="15" customHeight="1">
      <c r="K1011" s="75"/>
    </row>
    <row r="1013" spans="11:26" ht="15" customHeight="1">
      <c r="K1013" s="75"/>
      <c r="P1013" s="70"/>
      <c r="R1013" s="70"/>
      <c r="U1013" s="70"/>
      <c r="X1013" s="70"/>
      <c r="Y1013" s="70"/>
      <c r="Z1013" s="70"/>
    </row>
    <row r="1014" spans="11:26" ht="15" customHeight="1">
      <c r="K1014" s="75"/>
      <c r="N1014" s="70"/>
      <c r="P1014" s="70"/>
      <c r="R1014" s="70"/>
      <c r="S1014" s="70"/>
      <c r="X1014" s="70"/>
      <c r="Y1014" s="70"/>
      <c r="Z1014" s="70"/>
    </row>
    <row r="1015" spans="11:26" ht="15" customHeight="1">
      <c r="Z1015" s="70"/>
    </row>
    <row r="1022" spans="11:26" ht="15" customHeight="1">
      <c r="N1022" s="70"/>
    </row>
    <row r="1024" spans="11:26" ht="15" customHeight="1">
      <c r="Y1024" s="70"/>
      <c r="Z1024" s="70"/>
    </row>
    <row r="1029" spans="15:26" ht="15" customHeight="1">
      <c r="O1029" s="70"/>
      <c r="R1029" s="70"/>
      <c r="T1029" s="70"/>
    </row>
    <row r="1030" spans="15:26" ht="15" customHeight="1">
      <c r="Y1030" s="70"/>
      <c r="Z1030" s="70"/>
    </row>
    <row r="1032" spans="15:26" ht="15" customHeight="1">
      <c r="O1032" s="70"/>
      <c r="X1032" s="70"/>
      <c r="Y1032" s="70"/>
      <c r="Z1032" s="70"/>
    </row>
    <row r="1044" spans="11:26" ht="15" customHeight="1">
      <c r="R1044" s="70"/>
      <c r="S1044" s="70"/>
      <c r="T1044" s="70"/>
    </row>
    <row r="1047" spans="11:26" ht="15" customHeight="1">
      <c r="Y1047" s="70"/>
      <c r="Z1047" s="70"/>
    </row>
    <row r="1050" spans="11:26" ht="15" customHeight="1">
      <c r="K1050" s="75"/>
    </row>
    <row r="1051" spans="11:26" ht="15" customHeight="1">
      <c r="K1051" s="75"/>
    </row>
    <row r="1052" spans="11:26" ht="15" customHeight="1">
      <c r="K1052" s="75"/>
    </row>
    <row r="1053" spans="11:26" ht="15" customHeight="1">
      <c r="K1053" s="75"/>
    </row>
    <row r="1054" spans="11:26" ht="15" customHeight="1">
      <c r="K1054" s="75"/>
    </row>
    <row r="1055" spans="11:26" ht="15" customHeight="1">
      <c r="K1055" s="75"/>
    </row>
    <row r="1056" spans="11:26" ht="15" customHeight="1">
      <c r="K1056" s="75"/>
    </row>
    <row r="1058" spans="11:26" ht="15" customHeight="1">
      <c r="K1058" s="75"/>
    </row>
    <row r="1059" spans="11:26" ht="15" customHeight="1">
      <c r="K1059" s="75"/>
    </row>
    <row r="1062" spans="11:26" ht="15" customHeight="1">
      <c r="K1062" s="75"/>
      <c r="Y1062" s="70"/>
      <c r="Z1062" s="70"/>
    </row>
    <row r="1064" spans="11:26" ht="15" customHeight="1">
      <c r="P1064" s="70"/>
    </row>
    <row r="1066" spans="11:26" ht="15" customHeight="1">
      <c r="R1066" s="70"/>
      <c r="U1066" s="70"/>
    </row>
    <row r="1068" spans="11:26" ht="15" customHeight="1">
      <c r="R1068" s="70"/>
      <c r="S1068" s="70"/>
      <c r="Y1068" s="70"/>
      <c r="Z1068" s="70"/>
    </row>
    <row r="1070" spans="11:26" ht="15" customHeight="1">
      <c r="P1070" s="70"/>
      <c r="Y1070" s="70"/>
      <c r="Z1070" s="70"/>
    </row>
    <row r="1071" spans="11:26" ht="15" customHeight="1">
      <c r="R1071" s="70"/>
      <c r="U1071" s="70"/>
    </row>
    <row r="1073" spans="11:26" ht="15" customHeight="1">
      <c r="K1073" s="75"/>
      <c r="Z1073" s="70"/>
    </row>
    <row r="1075" spans="11:26" ht="15" customHeight="1">
      <c r="K1075" s="75"/>
    </row>
    <row r="1076" spans="11:26" ht="15" customHeight="1">
      <c r="K1076" s="75"/>
      <c r="N1076" s="70"/>
      <c r="P1076" s="70"/>
      <c r="R1076" s="70"/>
      <c r="T1076" s="70"/>
      <c r="X1076" s="70"/>
      <c r="Y1076" s="70"/>
      <c r="Z1076" s="70"/>
    </row>
    <row r="1084" spans="11:26" ht="15" customHeight="1">
      <c r="P1084" s="70"/>
    </row>
    <row r="1085" spans="11:26" ht="15" customHeight="1">
      <c r="K1085" s="75"/>
    </row>
    <row r="1086" spans="11:26" ht="15" customHeight="1">
      <c r="K1086" s="75"/>
    </row>
    <row r="1087" spans="11:26" ht="15" customHeight="1">
      <c r="K1087" s="75"/>
    </row>
    <row r="1088" spans="11:26" ht="15" customHeight="1">
      <c r="K1088" s="75"/>
    </row>
    <row r="1089" spans="11:11" ht="15" customHeight="1">
      <c r="K1089" s="75"/>
    </row>
    <row r="1090" spans="11:11" ht="15" customHeight="1">
      <c r="K1090" s="75"/>
    </row>
    <row r="1091" spans="11:11" ht="15" customHeight="1">
      <c r="K1091" s="75"/>
    </row>
    <row r="1092" spans="11:11" ht="15" customHeight="1">
      <c r="K1092" s="75"/>
    </row>
    <row r="1093" spans="11:11" ht="15" customHeight="1">
      <c r="K1093" s="75"/>
    </row>
    <row r="1094" spans="11:11" ht="15" customHeight="1">
      <c r="K1094" s="75"/>
    </row>
    <row r="1096" spans="11:11" ht="15" customHeight="1">
      <c r="K1096" s="75"/>
    </row>
    <row r="1097" spans="11:11" ht="15" customHeight="1">
      <c r="K1097" s="75"/>
    </row>
    <row r="1098" spans="11:11" ht="15" customHeight="1">
      <c r="K1098" s="75"/>
    </row>
    <row r="1099" spans="11:11" ht="15" customHeight="1">
      <c r="K1099" s="75"/>
    </row>
    <row r="1100" spans="11:11" ht="15" customHeight="1">
      <c r="K1100" s="75"/>
    </row>
    <row r="1101" spans="11:11" ht="15" customHeight="1">
      <c r="K1101" s="75"/>
    </row>
    <row r="1102" spans="11:11" ht="15" customHeight="1">
      <c r="K1102" s="75"/>
    </row>
    <row r="1103" spans="11:11" ht="15" customHeight="1">
      <c r="K1103" s="75"/>
    </row>
    <row r="1104" spans="11:11" ht="15" customHeight="1">
      <c r="K1104" s="75"/>
    </row>
    <row r="1105" spans="11:26" ht="15" customHeight="1">
      <c r="K1105" s="75"/>
    </row>
    <row r="1106" spans="11:26" ht="15" customHeight="1">
      <c r="K1106" s="75"/>
    </row>
    <row r="1107" spans="11:26" ht="15" customHeight="1">
      <c r="P1107" s="70"/>
      <c r="X1107" s="70"/>
      <c r="Y1107" s="70"/>
      <c r="Z1107" s="70"/>
    </row>
    <row r="1108" spans="11:26" ht="15" customHeight="1">
      <c r="P1108" s="70"/>
      <c r="X1108" s="70"/>
      <c r="Y1108" s="70"/>
      <c r="Z1108" s="70"/>
    </row>
    <row r="1109" spans="11:26" ht="15" customHeight="1">
      <c r="P1109" s="70"/>
      <c r="X1109" s="70"/>
      <c r="Y1109" s="70"/>
      <c r="Z1109" s="70"/>
    </row>
    <row r="1110" spans="11:26" ht="15" customHeight="1">
      <c r="P1110" s="70"/>
      <c r="X1110" s="70"/>
      <c r="Y1110" s="70"/>
      <c r="Z1110" s="70"/>
    </row>
    <row r="1111" spans="11:26" ht="15" customHeight="1">
      <c r="P1111" s="70"/>
      <c r="Y1111" s="70"/>
      <c r="Z1111" s="70"/>
    </row>
    <row r="1112" spans="11:26" ht="15" customHeight="1">
      <c r="P1112" s="70"/>
    </row>
    <row r="1113" spans="11:26" ht="15" customHeight="1">
      <c r="Z1113" s="70"/>
    </row>
    <row r="1116" spans="11:26" ht="15" customHeight="1">
      <c r="P1116" s="70"/>
    </row>
    <row r="1117" spans="11:26" ht="15" customHeight="1">
      <c r="Z1117" s="70"/>
    </row>
    <row r="1118" spans="11:26" ht="15" customHeight="1">
      <c r="P1118" s="70"/>
      <c r="X1118" s="70"/>
      <c r="Y1118" s="70"/>
      <c r="Z1118" s="70"/>
    </row>
    <row r="1119" spans="11:26" ht="15" customHeight="1">
      <c r="P1119" s="70"/>
      <c r="Z1119" s="70"/>
    </row>
    <row r="1120" spans="11:26" ht="15" customHeight="1">
      <c r="Z1120" s="70"/>
    </row>
    <row r="1124" spans="11:26" ht="15" customHeight="1">
      <c r="P1124" s="70"/>
      <c r="W1124" s="74"/>
      <c r="X1124" s="70"/>
      <c r="Y1124" s="70"/>
      <c r="Z1124" s="70"/>
    </row>
    <row r="1129" spans="11:26" ht="15" customHeight="1">
      <c r="K1129" s="75"/>
      <c r="P1129" s="70"/>
      <c r="R1129" s="70"/>
      <c r="T1129" s="70"/>
      <c r="U1129" s="70"/>
      <c r="W1129" s="74"/>
      <c r="X1129" s="70"/>
      <c r="Y1129" s="70"/>
      <c r="Z1129" s="70"/>
    </row>
    <row r="1130" spans="11:26" ht="15" customHeight="1">
      <c r="K1130" s="75"/>
      <c r="N1130" s="70"/>
      <c r="P1130" s="70"/>
      <c r="W1130" s="74"/>
      <c r="X1130" s="70"/>
      <c r="Y1130" s="70"/>
      <c r="Z1130" s="70"/>
    </row>
    <row r="1131" spans="11:26" ht="15" customHeight="1">
      <c r="K1131" s="75"/>
      <c r="N1131" s="70"/>
      <c r="P1131" s="70"/>
      <c r="R1131" s="70"/>
      <c r="T1131" s="70"/>
      <c r="U1131" s="70"/>
      <c r="W1131" s="74"/>
      <c r="X1131" s="70"/>
      <c r="Y1131" s="70"/>
      <c r="Z1131" s="70"/>
    </row>
    <row r="1132" spans="11:26" ht="15" customHeight="1">
      <c r="K1132" s="75"/>
      <c r="N1132" s="70"/>
      <c r="P1132" s="70"/>
      <c r="R1132" s="70"/>
      <c r="S1132" s="70"/>
      <c r="T1132" s="70"/>
      <c r="U1132" s="70"/>
      <c r="W1132" s="74"/>
      <c r="X1132" s="70"/>
      <c r="Y1132" s="70"/>
      <c r="Z1132" s="70"/>
    </row>
    <row r="1133" spans="11:26" ht="15" customHeight="1">
      <c r="O1133" s="70"/>
      <c r="R1133" s="70"/>
    </row>
    <row r="1134" spans="11:26" ht="15" customHeight="1">
      <c r="O1134" s="70"/>
      <c r="R1134" s="70"/>
    </row>
    <row r="1135" spans="11:26" ht="15" customHeight="1">
      <c r="O1135" s="70"/>
      <c r="R1135" s="70"/>
    </row>
    <row r="1136" spans="11:26" ht="15" customHeight="1">
      <c r="O1136" s="70"/>
      <c r="R1136" s="70"/>
    </row>
    <row r="1137" spans="11:26" ht="15" customHeight="1">
      <c r="O1137" s="70"/>
      <c r="R1137" s="70"/>
    </row>
    <row r="1139" spans="11:26" ht="15" customHeight="1">
      <c r="K1139" s="75"/>
      <c r="P1139" s="70"/>
      <c r="R1139" s="70"/>
      <c r="T1139" s="70"/>
      <c r="W1139" s="74"/>
      <c r="X1139" s="70"/>
      <c r="Y1139" s="70"/>
      <c r="Z1139" s="70"/>
    </row>
    <row r="1140" spans="11:26" ht="15" customHeight="1">
      <c r="K1140" s="75"/>
      <c r="P1140" s="70"/>
      <c r="R1140" s="70"/>
      <c r="T1140" s="70"/>
      <c r="X1140" s="70"/>
      <c r="Y1140" s="70"/>
      <c r="Z1140" s="70"/>
    </row>
    <row r="1141" spans="11:26" ht="15" customHeight="1">
      <c r="K1141" s="75"/>
      <c r="P1141" s="70"/>
      <c r="Y1141" s="70"/>
      <c r="Z1141" s="70"/>
    </row>
    <row r="1142" spans="11:26" ht="15" customHeight="1">
      <c r="K1142" s="75"/>
      <c r="N1142" s="70"/>
      <c r="P1142" s="70"/>
      <c r="R1142" s="70"/>
      <c r="S1142" s="70"/>
      <c r="T1142" s="70"/>
      <c r="U1142" s="70"/>
      <c r="W1142" s="74"/>
      <c r="X1142" s="70"/>
      <c r="Y1142" s="70"/>
      <c r="Z1142" s="70"/>
    </row>
    <row r="1143" spans="11:26" ht="15" customHeight="1">
      <c r="K1143" s="75"/>
      <c r="P1143" s="70"/>
      <c r="R1143" s="70"/>
      <c r="T1143" s="70"/>
      <c r="Y1143" s="70"/>
      <c r="Z1143" s="70"/>
    </row>
    <row r="1144" spans="11:26" ht="15" customHeight="1">
      <c r="K1144" s="75"/>
      <c r="R1144" s="70"/>
      <c r="S1144" s="70"/>
      <c r="U1144" s="70"/>
      <c r="X1144" s="70"/>
      <c r="Y1144" s="70"/>
      <c r="Z1144" s="70"/>
    </row>
    <row r="1145" spans="11:26" ht="15" customHeight="1">
      <c r="K1145" s="75"/>
      <c r="P1145" s="70"/>
    </row>
    <row r="1146" spans="11:26" ht="15" customHeight="1">
      <c r="K1146" s="75"/>
      <c r="N1146" s="70"/>
      <c r="P1146" s="70"/>
      <c r="R1146" s="70"/>
      <c r="T1146" s="70"/>
      <c r="U1146" s="70"/>
      <c r="W1146" s="74"/>
      <c r="X1146" s="70"/>
      <c r="Y1146" s="70"/>
      <c r="Z1146" s="70"/>
    </row>
    <row r="1147" spans="11:26" ht="15" customHeight="1">
      <c r="K1147" s="75"/>
      <c r="N1147" s="70"/>
      <c r="P1147" s="70"/>
      <c r="R1147" s="70"/>
      <c r="T1147" s="70"/>
      <c r="U1147" s="70"/>
      <c r="V1147" s="70"/>
      <c r="X1147" s="70"/>
      <c r="Y1147" s="70"/>
      <c r="Z1147" s="70"/>
    </row>
    <row r="1148" spans="11:26" ht="15" customHeight="1">
      <c r="K1148" s="75"/>
      <c r="N1148" s="70"/>
      <c r="P1148" s="70"/>
      <c r="R1148" s="70"/>
      <c r="T1148" s="70"/>
      <c r="W1148" s="74"/>
      <c r="X1148" s="70"/>
      <c r="Y1148" s="70"/>
      <c r="Z1148" s="70"/>
    </row>
    <row r="1149" spans="11:26" ht="15" customHeight="1">
      <c r="K1149" s="75"/>
      <c r="N1149" s="70"/>
      <c r="P1149" s="70"/>
      <c r="R1149" s="70"/>
      <c r="U1149" s="70"/>
      <c r="V1149" s="70"/>
      <c r="X1149" s="70"/>
      <c r="Y1149" s="70"/>
      <c r="Z1149" s="70"/>
    </row>
    <row r="1150" spans="11:26" ht="15" customHeight="1">
      <c r="K1150" s="75"/>
      <c r="P1150" s="70"/>
      <c r="X1150" s="70"/>
      <c r="Y1150" s="70"/>
      <c r="Z1150" s="70"/>
    </row>
    <row r="1151" spans="11:26" ht="15" customHeight="1">
      <c r="K1151" s="75"/>
      <c r="P1151" s="70"/>
      <c r="R1151" s="70"/>
      <c r="U1151" s="70"/>
      <c r="X1151" s="70"/>
      <c r="Y1151" s="70"/>
      <c r="Z1151" s="70"/>
    </row>
    <row r="1152" spans="11:26" ht="15" customHeight="1">
      <c r="K1152" s="75"/>
      <c r="R1152" s="70"/>
      <c r="U1152" s="70"/>
      <c r="X1152" s="70"/>
      <c r="Y1152" s="70"/>
      <c r="Z1152" s="70"/>
    </row>
    <row r="1153" spans="11:26" ht="15" customHeight="1">
      <c r="K1153" s="75"/>
      <c r="P1153" s="70"/>
      <c r="X1153" s="70"/>
      <c r="Y1153" s="70"/>
      <c r="Z1153" s="70"/>
    </row>
    <row r="1154" spans="11:26" ht="15" customHeight="1">
      <c r="K1154" s="75"/>
      <c r="P1154" s="70"/>
      <c r="X1154" s="70"/>
      <c r="Y1154" s="70"/>
      <c r="Z1154" s="70"/>
    </row>
    <row r="1155" spans="11:26" ht="15" customHeight="1">
      <c r="K1155" s="75"/>
      <c r="P1155" s="70"/>
      <c r="W1155" s="74"/>
      <c r="Y1155" s="70"/>
      <c r="Z1155" s="70"/>
    </row>
    <row r="1156" spans="11:26" ht="15" customHeight="1">
      <c r="K1156" s="75"/>
    </row>
    <row r="1157" spans="11:26" ht="15" customHeight="1">
      <c r="K1157" s="75"/>
      <c r="P1157" s="70"/>
      <c r="X1157" s="70"/>
      <c r="Y1157" s="70"/>
      <c r="Z1157" s="70"/>
    </row>
    <row r="1158" spans="11:26" ht="15" customHeight="1">
      <c r="K1158" s="75"/>
      <c r="P1158" s="70"/>
      <c r="R1158" s="70"/>
      <c r="U1158" s="70"/>
      <c r="X1158" s="70"/>
      <c r="Y1158" s="70"/>
      <c r="Z1158" s="70"/>
    </row>
    <row r="1159" spans="11:26" ht="15" customHeight="1">
      <c r="K1159" s="75"/>
      <c r="R1159" s="70"/>
      <c r="S1159" s="70"/>
      <c r="U1159" s="70"/>
      <c r="X1159" s="70"/>
      <c r="Y1159" s="70"/>
      <c r="Z1159" s="70"/>
    </row>
    <row r="1160" spans="11:26" ht="15" customHeight="1">
      <c r="K1160" s="75"/>
      <c r="R1160" s="70"/>
      <c r="S1160" s="70"/>
      <c r="X1160" s="70"/>
      <c r="Y1160" s="70"/>
      <c r="Z1160" s="70"/>
    </row>
    <row r="1161" spans="11:26" ht="15" customHeight="1">
      <c r="K1161" s="75"/>
      <c r="R1161" s="70"/>
      <c r="U1161" s="70"/>
      <c r="X1161" s="70"/>
      <c r="Y1161" s="70"/>
      <c r="Z1161" s="70"/>
    </row>
    <row r="1162" spans="11:26" ht="15" customHeight="1">
      <c r="K1162" s="75"/>
    </row>
    <row r="1163" spans="11:26" ht="15" customHeight="1">
      <c r="K1163" s="75"/>
      <c r="X1163" s="70"/>
      <c r="Y1163" s="70"/>
      <c r="Z1163" s="70"/>
    </row>
    <row r="1164" spans="11:26" ht="15" customHeight="1">
      <c r="K1164" s="75"/>
    </row>
    <row r="1165" spans="11:26" ht="15" customHeight="1">
      <c r="K1165" s="75"/>
    </row>
    <row r="1166" spans="11:26" ht="15" customHeight="1">
      <c r="K1166" s="75"/>
      <c r="P1166" s="70"/>
      <c r="R1166" s="70"/>
      <c r="S1166" s="70"/>
      <c r="T1166" s="70"/>
      <c r="U1166" s="70"/>
      <c r="X1166" s="70"/>
      <c r="Y1166" s="70"/>
      <c r="Z1166" s="70"/>
    </row>
    <row r="1167" spans="11:26" ht="15" customHeight="1">
      <c r="K1167" s="75"/>
      <c r="R1167" s="70"/>
      <c r="U1167" s="70"/>
      <c r="X1167" s="70"/>
      <c r="Y1167" s="70"/>
      <c r="Z1167" s="70"/>
    </row>
    <row r="1168" spans="11:26" ht="15" customHeight="1">
      <c r="K1168" s="75"/>
      <c r="P1168" s="70"/>
      <c r="Y1168" s="70"/>
      <c r="Z1168" s="70"/>
    </row>
    <row r="1169" spans="11:26" ht="15" customHeight="1">
      <c r="K1169" s="75"/>
      <c r="P1169" s="70"/>
      <c r="R1169" s="70"/>
      <c r="U1169" s="70"/>
      <c r="W1169" s="74"/>
      <c r="X1169" s="70"/>
      <c r="Y1169" s="70"/>
      <c r="Z1169" s="70"/>
    </row>
    <row r="1170" spans="11:26" ht="15" customHeight="1">
      <c r="K1170" s="75"/>
      <c r="P1170" s="70"/>
      <c r="Z1170" s="70"/>
    </row>
    <row r="1171" spans="11:26" ht="15" customHeight="1">
      <c r="K1171" s="75"/>
      <c r="Z1171" s="70"/>
    </row>
    <row r="1172" spans="11:26" ht="15" customHeight="1">
      <c r="K1172" s="75"/>
      <c r="P1172" s="70"/>
      <c r="R1172" s="70"/>
      <c r="T1172" s="70"/>
      <c r="W1172" s="74"/>
      <c r="Y1172" s="70"/>
      <c r="Z1172" s="70"/>
    </row>
    <row r="1173" spans="11:26" ht="15" customHeight="1">
      <c r="K1173" s="75"/>
      <c r="P1173" s="70"/>
      <c r="W1173" s="74"/>
    </row>
    <row r="1174" spans="11:26" ht="15" customHeight="1">
      <c r="K1174" s="75"/>
      <c r="P1174" s="70"/>
      <c r="W1174" s="74"/>
    </row>
    <row r="1175" spans="11:26" ht="15" customHeight="1">
      <c r="K1175" s="75"/>
      <c r="P1175" s="70"/>
      <c r="X1175" s="70"/>
      <c r="Y1175" s="70"/>
      <c r="Z1175" s="70"/>
    </row>
    <row r="1176" spans="11:26" ht="15" customHeight="1">
      <c r="K1176" s="75"/>
      <c r="P1176" s="70"/>
    </row>
    <row r="1177" spans="11:26" ht="15" customHeight="1">
      <c r="K1177" s="75"/>
      <c r="P1177" s="70"/>
      <c r="X1177" s="70"/>
      <c r="Y1177" s="70"/>
      <c r="Z1177" s="70"/>
    </row>
    <row r="1178" spans="11:26" ht="15" customHeight="1">
      <c r="K1178" s="75"/>
      <c r="R1178" s="70"/>
      <c r="S1178" s="70"/>
      <c r="U1178" s="70"/>
      <c r="X1178" s="70"/>
      <c r="Y1178" s="70"/>
      <c r="Z1178" s="70"/>
    </row>
    <row r="1179" spans="11:26" ht="15" customHeight="1">
      <c r="O1179" s="70"/>
      <c r="R1179" s="70"/>
      <c r="V1179" s="70"/>
      <c r="Z1179" s="70"/>
    </row>
    <row r="1180" spans="11:26" ht="15" customHeight="1">
      <c r="O1180" s="70"/>
      <c r="R1180" s="70"/>
      <c r="V1180" s="70"/>
      <c r="Z1180" s="70"/>
    </row>
    <row r="1181" spans="11:26" ht="15" customHeight="1">
      <c r="O1181" s="70"/>
      <c r="R1181" s="70"/>
      <c r="T1181" s="70"/>
      <c r="V1181" s="70"/>
    </row>
    <row r="1186" spans="11:26" ht="15" customHeight="1">
      <c r="O1186" s="70"/>
      <c r="R1186" s="70"/>
      <c r="V1186" s="70"/>
      <c r="Z1186" s="70"/>
    </row>
    <row r="1187" spans="11:26" ht="15" customHeight="1">
      <c r="O1187" s="70"/>
      <c r="R1187" s="70"/>
      <c r="V1187" s="70"/>
      <c r="Z1187" s="70"/>
    </row>
    <row r="1189" spans="11:26" ht="15" customHeight="1">
      <c r="K1189" s="75"/>
    </row>
    <row r="1190" spans="11:26" ht="15" customHeight="1">
      <c r="K1190" s="75"/>
    </row>
    <row r="1191" spans="11:26" ht="15" customHeight="1">
      <c r="K1191" s="75"/>
      <c r="P1191" s="70"/>
      <c r="X1191" s="70"/>
      <c r="Y1191" s="70"/>
      <c r="Z1191" s="70"/>
    </row>
    <row r="1193" spans="11:26" ht="15" customHeight="1">
      <c r="O1193" s="70"/>
      <c r="R1193" s="70"/>
      <c r="V1193" s="70"/>
      <c r="Z1193" s="70"/>
    </row>
    <row r="1194" spans="11:26" ht="15" customHeight="1">
      <c r="K1194" s="75"/>
      <c r="P1194" s="70"/>
    </row>
    <row r="1195" spans="11:26" ht="15" customHeight="1">
      <c r="K1195" s="75"/>
    </row>
    <row r="1196" spans="11:26" ht="15" customHeight="1">
      <c r="K1196" s="75"/>
    </row>
    <row r="1197" spans="11:26" ht="15" customHeight="1">
      <c r="K1197" s="75"/>
    </row>
    <row r="1199" spans="11:26" ht="15" customHeight="1">
      <c r="K1199" s="75"/>
    </row>
    <row r="1201" spans="11:26" ht="15" customHeight="1">
      <c r="O1201" s="70"/>
      <c r="R1201" s="70"/>
      <c r="V1201" s="70"/>
      <c r="Z1201" s="70"/>
    </row>
    <row r="1202" spans="11:26" ht="15" customHeight="1">
      <c r="K1202" s="75"/>
      <c r="Z1202" s="70"/>
    </row>
    <row r="1203" spans="11:26" ht="15" customHeight="1">
      <c r="O1203" s="70"/>
      <c r="R1203" s="70"/>
      <c r="V1203" s="70"/>
      <c r="Z1203" s="70"/>
    </row>
    <row r="1206" spans="11:26" ht="15" customHeight="1">
      <c r="K1206" s="75"/>
      <c r="P1206" s="70"/>
    </row>
    <row r="1207" spans="11:26" ht="15" customHeight="1">
      <c r="K1207" s="75"/>
      <c r="P1207" s="70"/>
    </row>
    <row r="1208" spans="11:26" ht="15" customHeight="1">
      <c r="K1208" s="75"/>
      <c r="R1208" s="70"/>
      <c r="U1208" s="70"/>
      <c r="X1208" s="70"/>
      <c r="Y1208" s="70"/>
      <c r="Z1208" s="70"/>
    </row>
    <row r="1209" spans="11:26" ht="15" customHeight="1">
      <c r="K1209" s="75"/>
    </row>
    <row r="1210" spans="11:26" ht="15" customHeight="1">
      <c r="K1210" s="75"/>
    </row>
    <row r="1211" spans="11:26" ht="15" customHeight="1">
      <c r="K1211" s="75"/>
    </row>
    <row r="1212" spans="11:26" ht="15" customHeight="1">
      <c r="K1212" s="75"/>
    </row>
    <row r="1213" spans="11:26" ht="15" customHeight="1">
      <c r="K1213" s="75"/>
      <c r="Y1213" s="70"/>
      <c r="Z1213" s="70"/>
    </row>
    <row r="1214" spans="11:26" ht="15" customHeight="1">
      <c r="K1214" s="75"/>
    </row>
    <row r="1215" spans="11:26" ht="15" customHeight="1">
      <c r="K1215" s="75"/>
    </row>
    <row r="1216" spans="11:26" ht="15" customHeight="1">
      <c r="K1216" s="75"/>
    </row>
    <row r="1217" spans="11:26" ht="15" customHeight="1">
      <c r="K1217" s="75"/>
      <c r="P1217" s="70"/>
      <c r="X1217" s="70"/>
      <c r="Y1217" s="70"/>
      <c r="Z1217" s="70"/>
    </row>
    <row r="1218" spans="11:26" ht="15" customHeight="1">
      <c r="O1218" s="70"/>
      <c r="R1218" s="70"/>
      <c r="T1218" s="70"/>
    </row>
    <row r="1219" spans="11:26" ht="15" customHeight="1">
      <c r="R1219" s="70"/>
      <c r="T1219" s="70"/>
    </row>
    <row r="1220" spans="11:26" ht="15" customHeight="1">
      <c r="K1220" s="75"/>
      <c r="P1220" s="70"/>
      <c r="R1220" s="70"/>
      <c r="S1220" s="70"/>
      <c r="X1220" s="70"/>
      <c r="Y1220" s="70"/>
      <c r="Z1220" s="70"/>
    </row>
    <row r="1221" spans="11:26" ht="15" customHeight="1">
      <c r="K1221" s="75"/>
      <c r="P1221" s="70"/>
      <c r="X1221" s="70"/>
      <c r="Y1221" s="70"/>
      <c r="Z1221" s="70"/>
    </row>
    <row r="1222" spans="11:26" ht="15" customHeight="1">
      <c r="N1222" s="70"/>
      <c r="P1222" s="70"/>
      <c r="R1222" s="70"/>
      <c r="U1222" s="70"/>
      <c r="X1222" s="70"/>
      <c r="Y1222" s="70"/>
      <c r="Z1222" s="70"/>
    </row>
    <row r="1224" spans="11:26" ht="15" customHeight="1">
      <c r="R1224" s="70"/>
      <c r="T1224" s="70"/>
      <c r="Y1224" s="70"/>
      <c r="Z1224" s="70"/>
    </row>
    <row r="1226" spans="11:26" ht="15" customHeight="1">
      <c r="O1226" s="70"/>
      <c r="R1226" s="70"/>
      <c r="U1226" s="70"/>
    </row>
    <row r="1228" spans="11:26" ht="15" customHeight="1">
      <c r="R1228" s="70"/>
      <c r="U1228" s="70"/>
      <c r="Z1228" s="70"/>
    </row>
    <row r="1229" spans="11:26" ht="15" customHeight="1">
      <c r="R1229" s="70"/>
      <c r="T1229" s="70"/>
      <c r="Z1229" s="70"/>
    </row>
    <row r="1230" spans="11:26" ht="15" customHeight="1">
      <c r="P1230" s="70"/>
      <c r="R1230" s="70"/>
      <c r="T1230" s="70"/>
      <c r="U1230" s="70"/>
      <c r="Y1230" s="70"/>
      <c r="Z1230" s="70"/>
    </row>
    <row r="1231" spans="11:26" ht="15" customHeight="1">
      <c r="O1231" s="70"/>
    </row>
    <row r="1232" spans="11:26" ht="15" customHeight="1">
      <c r="R1232" s="70"/>
      <c r="T1232" s="70"/>
      <c r="Z1232" s="70"/>
    </row>
    <row r="1235" spans="15:26" ht="15" customHeight="1">
      <c r="R1235" s="70"/>
      <c r="U1235" s="70"/>
      <c r="Z1235" s="70"/>
    </row>
    <row r="1236" spans="15:26" ht="15" customHeight="1">
      <c r="R1236" s="70"/>
      <c r="U1236" s="70"/>
      <c r="Z1236" s="70"/>
    </row>
    <row r="1237" spans="15:26" ht="15" customHeight="1">
      <c r="R1237" s="70"/>
      <c r="T1237" s="70"/>
      <c r="U1237" s="70"/>
      <c r="Y1237" s="70"/>
      <c r="Z1237" s="70"/>
    </row>
    <row r="1238" spans="15:26" ht="15" customHeight="1">
      <c r="O1238" s="70"/>
    </row>
    <row r="1241" spans="15:26" ht="15" customHeight="1">
      <c r="P1241" s="70"/>
    </row>
    <row r="1247" spans="15:26" ht="15" customHeight="1">
      <c r="R1247" s="70"/>
      <c r="T1247" s="70"/>
      <c r="Z1247" s="70"/>
    </row>
    <row r="1248" spans="15:26" ht="15" customHeight="1">
      <c r="R1248" s="70"/>
      <c r="T1248" s="70"/>
      <c r="Z1248" s="70"/>
    </row>
    <row r="1250" spans="26:26" ht="15" customHeight="1">
      <c r="Z1250" s="70"/>
    </row>
    <row r="1278" spans="16:26" ht="15" customHeight="1">
      <c r="P1278" s="70"/>
      <c r="W1278" s="74"/>
      <c r="X1278" s="70"/>
      <c r="Y1278" s="70"/>
      <c r="Z1278" s="70"/>
    </row>
    <row r="1279" spans="16:26" ht="15" customHeight="1">
      <c r="R1279" s="70"/>
      <c r="T1279" s="70"/>
      <c r="X1279" s="70"/>
      <c r="Y1279" s="70"/>
      <c r="Z1279" s="70"/>
    </row>
    <row r="1280" spans="16:26" ht="15" customHeight="1">
      <c r="R1280" s="70"/>
      <c r="V1280" s="70"/>
      <c r="W1280" s="74"/>
      <c r="X1280" s="70"/>
      <c r="Y1280" s="70"/>
      <c r="Z1280" s="70"/>
    </row>
    <row r="1281" spans="14:26" ht="15" customHeight="1">
      <c r="P1281" s="70"/>
      <c r="R1281" s="70"/>
      <c r="V1281" s="70"/>
      <c r="W1281" s="74"/>
      <c r="X1281" s="70"/>
      <c r="Y1281" s="70"/>
      <c r="Z1281" s="70"/>
    </row>
    <row r="1282" spans="14:26" ht="15" customHeight="1">
      <c r="R1282" s="70"/>
      <c r="V1282" s="70"/>
      <c r="W1282" s="74"/>
      <c r="X1282" s="70"/>
      <c r="Y1282" s="70"/>
      <c r="Z1282" s="70"/>
    </row>
    <row r="1284" spans="14:26" ht="15" customHeight="1">
      <c r="Z1284" s="70"/>
    </row>
    <row r="1287" spans="14:26" ht="15" customHeight="1">
      <c r="P1287" s="70"/>
      <c r="Z1287" s="70"/>
    </row>
    <row r="1288" spans="14:26" ht="15" customHeight="1">
      <c r="N1288" s="70"/>
      <c r="P1288" s="70"/>
      <c r="X1288" s="70"/>
      <c r="Y1288" s="70"/>
      <c r="Z1288" s="70"/>
    </row>
    <row r="1289" spans="14:26" ht="15" customHeight="1">
      <c r="P1289" s="70"/>
      <c r="X1289" s="70"/>
      <c r="Y1289" s="70"/>
      <c r="Z1289" s="70"/>
    </row>
    <row r="1290" spans="14:26" ht="15" customHeight="1">
      <c r="P1290" s="70"/>
      <c r="X1290" s="70"/>
      <c r="Y1290" s="70"/>
      <c r="Z1290" s="70"/>
    </row>
    <row r="1291" spans="14:26" ht="15" customHeight="1">
      <c r="R1291" s="70"/>
      <c r="V1291" s="70"/>
      <c r="X1291" s="70"/>
      <c r="Y1291" s="70"/>
      <c r="Z1291" s="70"/>
    </row>
    <row r="1292" spans="14:26" ht="15" customHeight="1">
      <c r="P1292" s="70"/>
      <c r="R1292" s="70"/>
      <c r="V1292" s="70"/>
      <c r="W1292" s="74"/>
      <c r="X1292" s="70"/>
      <c r="Y1292" s="70"/>
      <c r="Z1292" s="70"/>
    </row>
    <row r="1293" spans="14:26" ht="15" customHeight="1">
      <c r="N1293" s="70"/>
      <c r="P1293" s="70"/>
      <c r="R1293" s="70"/>
      <c r="S1293" s="70"/>
      <c r="W1293" s="74"/>
      <c r="Y1293" s="70"/>
      <c r="Z1293" s="70"/>
    </row>
    <row r="1294" spans="14:26" ht="15" customHeight="1">
      <c r="P1294" s="70"/>
      <c r="R1294" s="70"/>
      <c r="S1294" s="70"/>
      <c r="Y1294" s="70"/>
      <c r="Z1294" s="70"/>
    </row>
    <row r="1295" spans="14:26" ht="15" customHeight="1">
      <c r="P1295" s="70"/>
      <c r="X1295" s="70"/>
      <c r="Y1295" s="70"/>
      <c r="Z1295" s="70"/>
    </row>
    <row r="1296" spans="14:26" ht="15" customHeight="1">
      <c r="P1296" s="70"/>
      <c r="Z1296" s="70"/>
    </row>
    <row r="1297" spans="11:26" ht="15" customHeight="1">
      <c r="P1297" s="70"/>
      <c r="R1297" s="70"/>
      <c r="S1297" s="70"/>
      <c r="V1297" s="70"/>
      <c r="X1297" s="70"/>
      <c r="Y1297" s="70"/>
      <c r="Z1297" s="70"/>
    </row>
    <row r="1298" spans="11:26" ht="15" customHeight="1">
      <c r="P1298" s="70"/>
      <c r="X1298" s="70"/>
      <c r="Y1298" s="70"/>
      <c r="Z1298" s="70"/>
    </row>
    <row r="1299" spans="11:26" ht="15" customHeight="1">
      <c r="O1299" s="70"/>
      <c r="R1299" s="70"/>
      <c r="S1299" s="70"/>
      <c r="T1299" s="70"/>
      <c r="V1299" s="70"/>
      <c r="X1299" s="70"/>
      <c r="Y1299" s="70"/>
      <c r="Z1299" s="70"/>
    </row>
    <row r="1301" spans="11:26" ht="15" customHeight="1">
      <c r="P1301" s="70"/>
      <c r="Z1301" s="70"/>
    </row>
    <row r="1302" spans="11:26" ht="15" customHeight="1">
      <c r="K1302" s="75"/>
      <c r="P1302" s="70"/>
    </row>
    <row r="1303" spans="11:26" ht="15" customHeight="1">
      <c r="P1303" s="70"/>
      <c r="R1303" s="70"/>
      <c r="T1303" s="70"/>
      <c r="X1303" s="70"/>
      <c r="Y1303" s="70"/>
      <c r="Z1303" s="70"/>
    </row>
    <row r="1305" spans="11:26" ht="15" customHeight="1">
      <c r="R1305" s="70"/>
      <c r="Y1305" s="70"/>
      <c r="Z1305" s="70"/>
    </row>
    <row r="1306" spans="11:26" ht="15" customHeight="1">
      <c r="K1306" s="75"/>
    </row>
    <row r="1307" spans="11:26" ht="15" customHeight="1">
      <c r="P1307" s="70"/>
    </row>
    <row r="1308" spans="11:26" ht="15" customHeight="1">
      <c r="P1308" s="70"/>
      <c r="Z1308" s="70"/>
    </row>
    <row r="1309" spans="11:26" ht="15" customHeight="1">
      <c r="K1309" s="75"/>
    </row>
    <row r="1310" spans="11:26" ht="15" customHeight="1">
      <c r="Z1310" s="70"/>
    </row>
    <row r="1311" spans="11:26" ht="15" customHeight="1">
      <c r="P1311" s="70"/>
      <c r="X1311" s="70"/>
      <c r="Y1311" s="70"/>
      <c r="Z1311" s="70"/>
    </row>
    <row r="1314" spans="16:26" ht="15" customHeight="1">
      <c r="P1314" s="70"/>
      <c r="X1314" s="70"/>
      <c r="Y1314" s="70"/>
      <c r="Z1314" s="70"/>
    </row>
    <row r="1315" spans="16:26" ht="15" customHeight="1">
      <c r="P1315" s="70"/>
      <c r="W1315" s="74"/>
      <c r="X1315" s="70"/>
      <c r="Y1315" s="70"/>
      <c r="Z1315" s="70"/>
    </row>
    <row r="1383" spans="16:26" ht="15" customHeight="1">
      <c r="Z1383" s="70"/>
    </row>
    <row r="1385" spans="16:26" ht="15" customHeight="1">
      <c r="Y1385" s="70"/>
      <c r="Z1385" s="70"/>
    </row>
    <row r="1387" spans="16:26" ht="15" customHeight="1">
      <c r="Y1387" s="70"/>
      <c r="Z1387" s="70"/>
    </row>
    <row r="1388" spans="16:26" ht="15" customHeight="1">
      <c r="P1388" s="70"/>
      <c r="Y1388" s="70"/>
      <c r="Z1388" s="70"/>
    </row>
    <row r="1389" spans="16:26" ht="15" customHeight="1">
      <c r="P1389" s="70"/>
    </row>
    <row r="1391" spans="16:26" ht="15" customHeight="1">
      <c r="P1391" s="70"/>
      <c r="Z1391" s="70"/>
    </row>
    <row r="1392" spans="16:26" ht="15" customHeight="1">
      <c r="P1392" s="70"/>
      <c r="Z1392" s="70"/>
    </row>
    <row r="1393" spans="16:26" ht="15" customHeight="1">
      <c r="P1393" s="70"/>
      <c r="R1393" s="70"/>
      <c r="V1393" s="70"/>
      <c r="X1393" s="70"/>
      <c r="Y1393" s="70"/>
      <c r="Z1393" s="70"/>
    </row>
    <row r="1397" spans="16:26" ht="15" customHeight="1">
      <c r="P1397" s="70"/>
      <c r="Z1397" s="70"/>
    </row>
    <row r="1398" spans="16:26" ht="15" customHeight="1">
      <c r="P1398" s="70"/>
      <c r="Y1398" s="70"/>
      <c r="Z1398" s="70"/>
    </row>
    <row r="1399" spans="16:26" ht="15" customHeight="1">
      <c r="P1399" s="70"/>
      <c r="Y1399" s="70"/>
      <c r="Z1399" s="70"/>
    </row>
    <row r="1409" spans="16:26" ht="15" customHeight="1">
      <c r="P1409" s="70"/>
      <c r="R1409" s="70"/>
      <c r="V1409" s="70"/>
      <c r="X1409" s="70"/>
      <c r="Y1409" s="70"/>
      <c r="Z1409" s="70"/>
    </row>
    <row r="1410" spans="16:26" ht="15" customHeight="1">
      <c r="P1410" s="70"/>
      <c r="Y1410" s="70"/>
      <c r="Z1410" s="70"/>
    </row>
    <row r="1411" spans="16:26" ht="15" customHeight="1">
      <c r="P1411" s="70"/>
      <c r="R1411" s="70"/>
      <c r="V1411" s="70"/>
      <c r="X1411" s="70"/>
      <c r="Y1411" s="70"/>
      <c r="Z1411" s="70"/>
    </row>
    <row r="1412" spans="16:26" ht="15" customHeight="1">
      <c r="P1412" s="70"/>
      <c r="Y1412" s="70"/>
      <c r="Z1412" s="70"/>
    </row>
    <row r="1413" spans="16:26" ht="15" customHeight="1">
      <c r="P1413" s="70"/>
      <c r="X1413" s="70"/>
      <c r="Y1413" s="70"/>
      <c r="Z1413" s="70"/>
    </row>
    <row r="1414" spans="16:26" ht="15" customHeight="1">
      <c r="Z1414" s="70"/>
    </row>
    <row r="1416" spans="16:26" ht="15" customHeight="1">
      <c r="P1416" s="70"/>
      <c r="Y1416" s="70"/>
      <c r="Z1416" s="70"/>
    </row>
    <row r="1417" spans="16:26" ht="15" customHeight="1">
      <c r="Z1417" s="70"/>
    </row>
    <row r="1418" spans="16:26" ht="15" customHeight="1">
      <c r="R1418" s="70"/>
      <c r="V1418" s="70"/>
      <c r="X1418" s="70"/>
      <c r="Y1418" s="70"/>
      <c r="Z1418" s="70"/>
    </row>
    <row r="1419" spans="16:26" ht="15" customHeight="1">
      <c r="Z1419" s="70"/>
    </row>
    <row r="1420" spans="16:26" ht="15" customHeight="1">
      <c r="P1420" s="70"/>
      <c r="Z1420" s="70"/>
    </row>
    <row r="1422" spans="16:26" ht="15" customHeight="1">
      <c r="P1422" s="70"/>
      <c r="Z1422" s="70"/>
    </row>
    <row r="1424" spans="16:26" ht="15" customHeight="1">
      <c r="Z1424" s="70"/>
    </row>
    <row r="1428" spans="11:26" ht="15" customHeight="1">
      <c r="K1428" s="75"/>
    </row>
    <row r="1429" spans="11:26" ht="15" customHeight="1">
      <c r="K1429" s="75"/>
      <c r="O1429" s="70"/>
      <c r="R1429" s="70"/>
      <c r="T1429" s="70"/>
      <c r="U1429" s="70"/>
      <c r="X1429" s="70"/>
      <c r="Y1429" s="70"/>
      <c r="Z1429" s="70"/>
    </row>
    <row r="1430" spans="11:26" ht="15" customHeight="1">
      <c r="K1430" s="75"/>
      <c r="P1430" s="70"/>
      <c r="Y1430" s="70"/>
      <c r="Z1430" s="70"/>
    </row>
    <row r="1431" spans="11:26" ht="15" customHeight="1">
      <c r="K1431" s="75"/>
    </row>
    <row r="1432" spans="11:26" ht="15" customHeight="1">
      <c r="K1432" s="75"/>
      <c r="P1432" s="70"/>
    </row>
    <row r="1433" spans="11:26" ht="15" customHeight="1">
      <c r="K1433" s="75"/>
    </row>
    <row r="1434" spans="11:26" ht="15" customHeight="1">
      <c r="K1434" s="75"/>
    </row>
    <row r="1435" spans="11:26" ht="15" customHeight="1">
      <c r="K1435" s="75"/>
      <c r="N1435" s="70"/>
      <c r="X1435" s="70"/>
      <c r="Y1435" s="70"/>
      <c r="Z1435" s="70"/>
    </row>
    <row r="1436" spans="11:26" ht="15" customHeight="1">
      <c r="K1436" s="75"/>
    </row>
    <row r="1437" spans="11:26" ht="15" customHeight="1">
      <c r="K1437" s="75"/>
    </row>
    <row r="1438" spans="11:26" ht="15" customHeight="1">
      <c r="K1438" s="75"/>
    </row>
    <row r="1440" spans="11:26" ht="15" customHeight="1">
      <c r="K1440" s="75"/>
    </row>
    <row r="1441" spans="11:26" ht="15" customHeight="1">
      <c r="K1441" s="75"/>
      <c r="R1441" s="70"/>
      <c r="U1441" s="70"/>
    </row>
    <row r="1442" spans="11:26" ht="15" customHeight="1">
      <c r="O1442" s="70"/>
      <c r="R1442" s="70"/>
      <c r="T1442" s="70"/>
      <c r="X1442" s="70"/>
      <c r="Y1442" s="70"/>
      <c r="Z1442" s="70"/>
    </row>
    <row r="1443" spans="11:26" ht="15" customHeight="1">
      <c r="K1443" s="75"/>
    </row>
    <row r="1444" spans="11:26" ht="15" customHeight="1">
      <c r="K1444" s="75"/>
    </row>
    <row r="1445" spans="11:26" ht="15" customHeight="1">
      <c r="K1445" s="75"/>
    </row>
    <row r="1446" spans="11:26" ht="15" customHeight="1">
      <c r="K1446" s="75"/>
    </row>
    <row r="1449" spans="11:26" ht="15" customHeight="1">
      <c r="K1449" s="75"/>
    </row>
    <row r="1450" spans="11:26" ht="15" customHeight="1">
      <c r="K1450" s="75"/>
    </row>
    <row r="1451" spans="11:26" ht="15" customHeight="1">
      <c r="K1451" s="75"/>
    </row>
    <row r="1455" spans="11:26" ht="15" customHeight="1">
      <c r="K1455" s="75"/>
    </row>
    <row r="1456" spans="11:26" ht="15" customHeight="1">
      <c r="K1456" s="75"/>
    </row>
    <row r="1457" spans="11:26" ht="15" customHeight="1">
      <c r="K1457" s="75"/>
    </row>
    <row r="1458" spans="11:26" ht="15" customHeight="1">
      <c r="K1458" s="75"/>
    </row>
    <row r="1459" spans="11:26" ht="15" customHeight="1">
      <c r="K1459" s="75"/>
    </row>
    <row r="1460" spans="11:26" ht="15" customHeight="1">
      <c r="K1460" s="75"/>
      <c r="N1460" s="70"/>
      <c r="W1460" s="74"/>
      <c r="X1460" s="70"/>
      <c r="Y1460" s="70"/>
      <c r="Z1460" s="70"/>
    </row>
    <row r="1461" spans="11:26" ht="15" customHeight="1">
      <c r="K1461" s="75"/>
    </row>
    <row r="1462" spans="11:26" ht="15" customHeight="1">
      <c r="K1462" s="75"/>
    </row>
    <row r="1463" spans="11:26" ht="15" customHeight="1">
      <c r="K1463" s="75"/>
    </row>
    <row r="1464" spans="11:26" ht="15" customHeight="1">
      <c r="K1464" s="75"/>
    </row>
    <row r="1465" spans="11:26" ht="15" customHeight="1">
      <c r="K1465" s="75"/>
    </row>
    <row r="1466" spans="11:26" ht="15" customHeight="1">
      <c r="K1466" s="75"/>
      <c r="P1466" s="70"/>
    </row>
    <row r="1467" spans="11:26" ht="15" customHeight="1">
      <c r="R1467" s="70"/>
      <c r="S1467" s="70"/>
      <c r="Y1467" s="70"/>
      <c r="Z1467" s="70"/>
    </row>
    <row r="1468" spans="11:26" ht="15" customHeight="1">
      <c r="P1468" s="70"/>
    </row>
    <row r="1469" spans="11:26" ht="15" customHeight="1">
      <c r="R1469" s="70"/>
      <c r="S1469" s="70"/>
      <c r="X1469" s="70"/>
      <c r="Y1469" s="70"/>
      <c r="Z1469" s="70"/>
    </row>
    <row r="1470" spans="11:26" ht="15" customHeight="1">
      <c r="P1470" s="70"/>
      <c r="R1470" s="70"/>
      <c r="S1470" s="70"/>
      <c r="V1470" s="70"/>
      <c r="W1470" s="74"/>
      <c r="X1470" s="70"/>
      <c r="Y1470" s="70"/>
      <c r="Z1470" s="70"/>
    </row>
    <row r="1472" spans="11:26" ht="15" customHeight="1">
      <c r="K1472" s="75"/>
      <c r="P1472" s="70"/>
      <c r="R1472" s="70"/>
      <c r="T1472" s="70"/>
      <c r="Z1472" s="70"/>
    </row>
    <row r="1473" spans="11:26" ht="15" customHeight="1">
      <c r="N1473" s="70"/>
      <c r="P1473" s="70"/>
      <c r="R1473" s="70"/>
      <c r="S1473" s="70"/>
      <c r="T1473" s="70"/>
      <c r="V1473" s="70"/>
      <c r="W1473" s="74"/>
      <c r="X1473" s="70"/>
      <c r="Y1473" s="70"/>
      <c r="Z1473" s="70"/>
    </row>
    <row r="1474" spans="11:26" ht="15" customHeight="1">
      <c r="O1474" s="70"/>
      <c r="R1474" s="70"/>
      <c r="S1474" s="70"/>
      <c r="V1474" s="70"/>
      <c r="X1474" s="70"/>
      <c r="Y1474" s="70"/>
      <c r="Z1474" s="70"/>
    </row>
    <row r="1475" spans="11:26" ht="15" customHeight="1">
      <c r="K1475" s="75"/>
      <c r="P1475" s="70"/>
      <c r="R1475" s="70"/>
      <c r="S1475" s="70"/>
      <c r="T1475" s="70"/>
      <c r="Z1475" s="70"/>
    </row>
    <row r="1476" spans="11:26" ht="15" customHeight="1">
      <c r="N1476" s="70"/>
      <c r="P1476" s="70"/>
      <c r="R1476" s="70"/>
      <c r="S1476" s="70"/>
      <c r="T1476" s="70"/>
      <c r="V1476" s="70"/>
      <c r="X1476" s="70"/>
      <c r="Y1476" s="70"/>
      <c r="Z1476" s="70"/>
    </row>
    <row r="1477" spans="11:26" ht="15" customHeight="1">
      <c r="P1477" s="70"/>
      <c r="R1477" s="70"/>
      <c r="T1477" s="70"/>
      <c r="V1477" s="70"/>
      <c r="W1477" s="74"/>
      <c r="X1477" s="70"/>
      <c r="Y1477" s="70"/>
      <c r="Z1477" s="70"/>
    </row>
    <row r="1478" spans="11:26" ht="15" customHeight="1">
      <c r="O1478" s="70"/>
      <c r="R1478" s="70"/>
    </row>
    <row r="1479" spans="11:26" ht="15" customHeight="1">
      <c r="K1479" s="75"/>
      <c r="P1479" s="70"/>
      <c r="R1479" s="70"/>
      <c r="T1479" s="70"/>
      <c r="Z1479" s="70"/>
    </row>
    <row r="1480" spans="11:26" ht="15" customHeight="1">
      <c r="N1480" s="70"/>
      <c r="P1480" s="70"/>
      <c r="R1480" s="70"/>
      <c r="T1480" s="70"/>
      <c r="V1480" s="70"/>
      <c r="W1480" s="74"/>
      <c r="X1480" s="70"/>
      <c r="Y1480" s="70"/>
      <c r="Z1480" s="70"/>
    </row>
    <row r="1481" spans="11:26" ht="15" customHeight="1">
      <c r="O1481" s="70"/>
      <c r="R1481" s="70"/>
      <c r="S1481" s="70"/>
      <c r="V1481" s="70"/>
      <c r="X1481" s="70"/>
      <c r="Y1481" s="70"/>
      <c r="Z1481" s="70"/>
    </row>
    <row r="1482" spans="11:26" ht="15" customHeight="1">
      <c r="K1482" s="75"/>
      <c r="P1482" s="70"/>
      <c r="X1482" s="70"/>
      <c r="Y1482" s="70"/>
      <c r="Z1482" s="70"/>
    </row>
    <row r="1483" spans="11:26" ht="15" customHeight="1">
      <c r="P1483" s="70"/>
      <c r="R1483" s="70"/>
      <c r="S1483" s="70"/>
      <c r="V1483" s="70"/>
      <c r="W1483" s="74"/>
      <c r="X1483" s="70"/>
      <c r="Y1483" s="70"/>
      <c r="Z1483" s="70"/>
    </row>
    <row r="1485" spans="11:26" ht="15" customHeight="1">
      <c r="K1485" s="75"/>
      <c r="P1485" s="70"/>
      <c r="R1485" s="70"/>
      <c r="T1485" s="70"/>
      <c r="Z1485" s="70"/>
    </row>
    <row r="1832" spans="16:16" ht="15" customHeight="1">
      <c r="P1832" s="70"/>
    </row>
    <row r="1865" spans="14:26" ht="15" customHeight="1">
      <c r="R1865" s="70"/>
      <c r="T1865" s="70"/>
      <c r="V1865" s="70"/>
      <c r="X1865" s="70"/>
      <c r="Y1865" s="70"/>
      <c r="Z1865" s="70"/>
    </row>
    <row r="1866" spans="14:26" ht="15" customHeight="1">
      <c r="P1866" s="70"/>
      <c r="R1866" s="70"/>
      <c r="T1866" s="70"/>
      <c r="X1866" s="70"/>
      <c r="Y1866" s="70"/>
      <c r="Z1866" s="70"/>
    </row>
    <row r="1867" spans="14:26" ht="15" customHeight="1">
      <c r="N1867" s="70"/>
      <c r="R1867" s="70"/>
      <c r="T1867" s="70"/>
      <c r="X1867" s="70"/>
      <c r="Y1867" s="70"/>
      <c r="Z1867" s="70"/>
    </row>
    <row r="1871" spans="14:26" ht="15" customHeight="1">
      <c r="P1871" s="70"/>
      <c r="Y1871" s="70"/>
      <c r="Z1871" s="70"/>
    </row>
    <row r="1883" spans="16:26" ht="15" customHeight="1">
      <c r="P1883" s="70"/>
      <c r="R1883" s="70"/>
      <c r="T1883" s="70"/>
      <c r="Y1883" s="70"/>
      <c r="Z1883" s="70"/>
    </row>
    <row r="1884" spans="16:26" ht="15" customHeight="1">
      <c r="P1884" s="70"/>
    </row>
    <row r="1885" spans="16:26" ht="15" customHeight="1">
      <c r="P1885" s="70"/>
    </row>
    <row r="1886" spans="16:26" ht="15" customHeight="1">
      <c r="P1886" s="70"/>
      <c r="Z1886" s="70"/>
    </row>
    <row r="1887" spans="16:26" ht="15" customHeight="1">
      <c r="R1887" s="70"/>
      <c r="T1887" s="70"/>
    </row>
    <row r="1889" spans="11:26" ht="15" customHeight="1">
      <c r="X1889" s="70"/>
      <c r="Y1889" s="70"/>
      <c r="Z1889" s="70"/>
    </row>
    <row r="1890" spans="11:26" ht="15" customHeight="1">
      <c r="K1890" s="75"/>
      <c r="P1890" s="70"/>
      <c r="R1890" s="70"/>
      <c r="T1890" s="70"/>
      <c r="W1890" s="74"/>
      <c r="X1890" s="70"/>
      <c r="Y1890" s="70"/>
      <c r="Z1890" s="70"/>
    </row>
    <row r="1891" spans="11:26" ht="15" customHeight="1">
      <c r="K1891" s="75"/>
      <c r="X1891" s="70"/>
      <c r="Y1891" s="70"/>
      <c r="Z1891" s="70"/>
    </row>
    <row r="1892" spans="11:26" ht="15" customHeight="1">
      <c r="K1892" s="75"/>
      <c r="N1892" s="70"/>
      <c r="P1892" s="70"/>
      <c r="R1892" s="70"/>
      <c r="T1892" s="70"/>
      <c r="U1892" s="70"/>
      <c r="V1892" s="70"/>
      <c r="W1892" s="74"/>
      <c r="X1892" s="70"/>
      <c r="Y1892" s="70"/>
      <c r="Z1892" s="70"/>
    </row>
    <row r="1893" spans="11:26" ht="15" customHeight="1">
      <c r="K1893" s="75"/>
      <c r="P1893" s="70"/>
      <c r="R1893" s="70"/>
      <c r="T1893" s="70"/>
      <c r="W1893" s="74"/>
      <c r="X1893" s="70"/>
      <c r="Y1893" s="70"/>
      <c r="Z1893" s="70"/>
    </row>
    <row r="1894" spans="11:26" ht="15" customHeight="1">
      <c r="P1894" s="70"/>
      <c r="X1894" s="70"/>
      <c r="Y1894" s="70"/>
      <c r="Z1894" s="70"/>
    </row>
    <row r="1895" spans="11:26" ht="15" customHeight="1">
      <c r="R1895" s="70"/>
      <c r="S1895" s="70"/>
      <c r="V1895" s="70"/>
      <c r="X1895" s="70"/>
      <c r="Y1895" s="70"/>
      <c r="Z1895" s="70"/>
    </row>
    <row r="1896" spans="11:26" ht="15" customHeight="1">
      <c r="K1896" s="75"/>
      <c r="X1896" s="70"/>
      <c r="Y1896" s="70"/>
      <c r="Z1896" s="70"/>
    </row>
    <row r="1897" spans="11:26" ht="15" customHeight="1">
      <c r="N1897" s="70"/>
      <c r="O1897" s="70"/>
      <c r="R1897" s="70"/>
      <c r="W1897" s="74"/>
      <c r="X1897" s="70"/>
      <c r="Y1897" s="70"/>
      <c r="Z1897" s="70"/>
    </row>
    <row r="1898" spans="11:26" ht="15" customHeight="1">
      <c r="K1898" s="75"/>
      <c r="P1898" s="70"/>
      <c r="R1898" s="70"/>
      <c r="T1898" s="70"/>
      <c r="W1898" s="74"/>
      <c r="X1898" s="70"/>
      <c r="Y1898" s="70"/>
      <c r="Z1898" s="70"/>
    </row>
    <row r="1899" spans="11:26" ht="15" customHeight="1">
      <c r="P1899" s="70"/>
      <c r="R1899" s="70"/>
      <c r="V1899" s="70"/>
      <c r="X1899" s="70"/>
      <c r="Y1899" s="70"/>
      <c r="Z1899" s="70"/>
    </row>
    <row r="1900" spans="11:26" ht="15" customHeight="1">
      <c r="K1900" s="75"/>
      <c r="X1900" s="70"/>
      <c r="Y1900" s="70"/>
      <c r="Z1900" s="70"/>
    </row>
    <row r="1901" spans="11:26" ht="15" customHeight="1">
      <c r="K1901" s="75"/>
      <c r="X1901" s="70"/>
      <c r="Y1901" s="70"/>
      <c r="Z1901" s="70"/>
    </row>
    <row r="1902" spans="11:26" ht="15" customHeight="1">
      <c r="X1902" s="70"/>
      <c r="Y1902" s="70"/>
      <c r="Z1902" s="70"/>
    </row>
    <row r="1903" spans="11:26" ht="15" customHeight="1">
      <c r="K1903" s="75"/>
      <c r="P1903" s="70"/>
      <c r="R1903" s="70"/>
      <c r="S1903" s="70"/>
      <c r="T1903" s="70"/>
      <c r="W1903" s="74"/>
      <c r="X1903" s="70"/>
      <c r="Y1903" s="70"/>
      <c r="Z1903" s="70"/>
    </row>
    <row r="1904" spans="11:26" ht="15" customHeight="1">
      <c r="K1904" s="75"/>
      <c r="P1904" s="70"/>
      <c r="X1904" s="70"/>
      <c r="Y1904" s="70"/>
      <c r="Z1904" s="70"/>
    </row>
    <row r="1905" spans="11:26" ht="15" customHeight="1">
      <c r="K1905" s="75"/>
    </row>
    <row r="1906" spans="11:26" ht="15" customHeight="1">
      <c r="K1906" s="75"/>
      <c r="P1906" s="70"/>
      <c r="R1906" s="70"/>
      <c r="S1906" s="70"/>
      <c r="U1906" s="70"/>
      <c r="V1906" s="70"/>
      <c r="X1906" s="70"/>
      <c r="Y1906" s="70"/>
      <c r="Z1906" s="70"/>
    </row>
    <row r="1910" spans="11:26" ht="15" customHeight="1">
      <c r="X1910" s="70"/>
      <c r="Y1910" s="70"/>
      <c r="Z1910" s="70"/>
    </row>
    <row r="1911" spans="11:26" ht="15" customHeight="1">
      <c r="R1911" s="70"/>
      <c r="U1911" s="70"/>
      <c r="W1911" s="74"/>
      <c r="X1911" s="70"/>
      <c r="Y1911" s="70"/>
      <c r="Z1911" s="70"/>
    </row>
    <row r="1912" spans="11:26" ht="15" customHeight="1">
      <c r="P1912" s="70"/>
      <c r="X1912" s="70"/>
      <c r="Y1912" s="70"/>
      <c r="Z1912" s="70"/>
    </row>
    <row r="1913" spans="11:26" ht="15" customHeight="1">
      <c r="P1913" s="70"/>
      <c r="Y1913" s="70"/>
      <c r="Z1913" s="70"/>
    </row>
    <row r="1914" spans="11:26" ht="15" customHeight="1">
      <c r="P1914" s="70"/>
      <c r="Y1914" s="70"/>
      <c r="Z1914" s="70"/>
    </row>
    <row r="1915" spans="11:26" ht="15" customHeight="1">
      <c r="P1915" s="70"/>
      <c r="Y1915" s="70"/>
      <c r="Z1915" s="70"/>
    </row>
    <row r="1916" spans="11:26" ht="15" customHeight="1">
      <c r="P1916" s="70"/>
    </row>
    <row r="1917" spans="11:26" ht="15" customHeight="1">
      <c r="K1917" s="75"/>
      <c r="P1917" s="70"/>
      <c r="X1917" s="70"/>
      <c r="Y1917" s="70"/>
      <c r="Z1917" s="70"/>
    </row>
    <row r="1918" spans="11:26" ht="15" customHeight="1">
      <c r="Z1918" s="70"/>
    </row>
    <row r="1919" spans="11:26" ht="15" customHeight="1">
      <c r="P1919" s="70"/>
    </row>
    <row r="1921" spans="11:26" ht="15" customHeight="1">
      <c r="K1921" s="75"/>
    </row>
    <row r="1926" spans="11:26" ht="15" customHeight="1">
      <c r="O1926" s="70"/>
      <c r="P1926" s="70"/>
      <c r="R1926" s="70"/>
      <c r="T1926" s="70"/>
      <c r="U1926" s="70"/>
      <c r="X1926" s="70"/>
      <c r="Y1926" s="70"/>
      <c r="Z1926" s="70"/>
    </row>
    <row r="1927" spans="11:26" ht="15" customHeight="1">
      <c r="Z1927" s="70"/>
    </row>
    <row r="1928" spans="11:26" ht="15" customHeight="1">
      <c r="P1928" s="70"/>
      <c r="R1928" s="70"/>
      <c r="V1928" s="70"/>
      <c r="X1928" s="70"/>
      <c r="Y1928" s="70"/>
      <c r="Z1928" s="70"/>
    </row>
    <row r="1929" spans="11:26" ht="15" customHeight="1">
      <c r="P1929" s="70"/>
      <c r="R1929" s="70"/>
      <c r="S1929" s="70"/>
      <c r="W1929" s="74"/>
      <c r="X1929" s="70"/>
      <c r="Y1929" s="70"/>
      <c r="Z1929" s="70"/>
    </row>
    <row r="1930" spans="11:26" ht="15" customHeight="1">
      <c r="R1930" s="70"/>
      <c r="S1930" s="70"/>
      <c r="X1930" s="70"/>
      <c r="Y1930" s="70"/>
      <c r="Z1930" s="70"/>
    </row>
    <row r="1931" spans="11:26" ht="15" customHeight="1">
      <c r="Z1931" s="70"/>
    </row>
    <row r="1933" spans="11:26" ht="15" customHeight="1">
      <c r="N1933" s="70"/>
      <c r="P1933" s="70"/>
      <c r="W1933" s="74"/>
      <c r="X1933" s="70"/>
      <c r="Y1933" s="70"/>
      <c r="Z1933" s="70"/>
    </row>
    <row r="1934" spans="11:26" ht="15" customHeight="1">
      <c r="P1934" s="70"/>
    </row>
    <row r="1936" spans="11:26" ht="15" customHeight="1">
      <c r="O1936" s="70"/>
    </row>
    <row r="1937" spans="15:26" ht="15" customHeight="1">
      <c r="O1937" s="70"/>
    </row>
    <row r="1938" spans="15:26" ht="15" customHeight="1">
      <c r="O1938" s="70"/>
    </row>
    <row r="1939" spans="15:26" ht="15" customHeight="1">
      <c r="P1939" s="70"/>
      <c r="R1939" s="70"/>
      <c r="S1939" s="70"/>
      <c r="X1939" s="70"/>
      <c r="Y1939" s="70"/>
      <c r="Z1939" s="70"/>
    </row>
    <row r="1940" spans="15:26" ht="15" customHeight="1">
      <c r="P1940" s="70"/>
      <c r="X1940" s="70"/>
      <c r="Y1940" s="70"/>
      <c r="Z1940" s="70"/>
    </row>
    <row r="1946" spans="15:26" ht="15" customHeight="1">
      <c r="P1946" s="70"/>
      <c r="W1946" s="74"/>
      <c r="X1946" s="70"/>
      <c r="Y1946" s="70"/>
      <c r="Z1946" s="70"/>
    </row>
    <row r="1948" spans="15:26" ht="15" customHeight="1">
      <c r="P1948" s="70"/>
    </row>
    <row r="1949" spans="15:26" ht="15" customHeight="1">
      <c r="P1949" s="70"/>
      <c r="Z1949" s="70"/>
    </row>
    <row r="1950" spans="15:26" ht="15" customHeight="1">
      <c r="P1950" s="70"/>
      <c r="Z1950" s="70"/>
    </row>
    <row r="1951" spans="15:26" ht="15" customHeight="1">
      <c r="R1951" s="70"/>
      <c r="V1951" s="70"/>
      <c r="X1951" s="70"/>
      <c r="Y1951" s="70"/>
      <c r="Z1951" s="70"/>
    </row>
    <row r="1952" spans="15:26" ht="15" customHeight="1">
      <c r="P1952" s="70"/>
      <c r="Y1952" s="70"/>
      <c r="Z1952" s="70"/>
    </row>
    <row r="1953" spans="16:26" ht="15" customHeight="1">
      <c r="P1953" s="70"/>
      <c r="R1953" s="70"/>
      <c r="V1953" s="70"/>
      <c r="Y1953" s="70"/>
      <c r="Z1953" s="70"/>
    </row>
    <row r="1954" spans="16:26" ht="15" customHeight="1">
      <c r="P1954" s="70"/>
      <c r="R1954" s="70"/>
      <c r="V1954" s="70"/>
      <c r="X1954" s="70"/>
      <c r="Y1954" s="70"/>
      <c r="Z1954" s="70"/>
    </row>
    <row r="1955" spans="16:26" ht="15" customHeight="1">
      <c r="R1955" s="70"/>
      <c r="V1955" s="70"/>
      <c r="Y1955" s="70"/>
      <c r="Z1955" s="70"/>
    </row>
    <row r="1956" spans="16:26" ht="15" customHeight="1">
      <c r="P1956" s="70"/>
    </row>
    <row r="1957" spans="16:26" ht="15" customHeight="1">
      <c r="P1957" s="70"/>
      <c r="R1957" s="70"/>
      <c r="V1957" s="70"/>
      <c r="W1957" s="74"/>
      <c r="X1957" s="70"/>
      <c r="Y1957" s="70"/>
      <c r="Z1957" s="70"/>
    </row>
    <row r="1958" spans="16:26" ht="15" customHeight="1">
      <c r="P1958" s="70"/>
      <c r="X1958" s="70"/>
      <c r="Y1958" s="70"/>
      <c r="Z1958" s="70"/>
    </row>
    <row r="1963" spans="16:26" ht="15" customHeight="1">
      <c r="Z1963" s="70"/>
    </row>
  </sheetData>
  <autoFilter ref="A9:AE105" xr:uid="{21AD4C7E-CC38-4D86-8ACC-E13F321D38C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8071-5620-4D5E-8E97-ABD7DF481D5E}">
  <dimension ref="A1"/>
  <sheetViews>
    <sheetView workbookViewId="0">
      <pane ySplit="1" topLeftCell="A2" activePane="bottomLeft" state="frozen"/>
      <selection pane="bottomLeft" activeCell="N18" sqref="N1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Apoorva Kapoor</dc:creator>
  <cp:keywords/>
  <dc:description/>
  <cp:lastModifiedBy>Aaron Bell</cp:lastModifiedBy>
  <cp:revision/>
  <dcterms:created xsi:type="dcterms:W3CDTF">2023-04-21T03:57:33Z</dcterms:created>
  <dcterms:modified xsi:type="dcterms:W3CDTF">2026-05-27T21:22:47Z</dcterms:modified>
  <cp:category/>
  <cp:contentStatus/>
</cp:coreProperties>
</file>